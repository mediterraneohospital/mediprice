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W:\ΓΡΑΦΕΙΟ ΚΙΝΗΣΕΩΣ\ΤΙΜΕΣ\"/>
    </mc:Choice>
  </mc:AlternateContent>
  <xr:revisionPtr revIDLastSave="0" documentId="13_ncr:2001_{34D02E8B-850E-4FDE-B372-1B217E3FDD07}" xr6:coauthVersionLast="47" xr6:coauthVersionMax="47" xr10:uidLastSave="{00000000-0000-0000-0000-000000000000}"/>
  <bookViews>
    <workbookView xWindow="-120" yWindow="-120" windowWidth="29040" windowHeight="15840" firstSheet="6" activeTab="6" xr2:uid="{40E027A2-04A2-4939-BD77-967601D8130B}"/>
  </bookViews>
  <sheets>
    <sheet name="ΑΓΓΕΙΟΧΕΙΡΟΥΡΓΙΚΗ" sheetId="1" r:id="rId1"/>
    <sheet name="ΓΑΣΤΡΕΝΤΕΡΟΛΟΓΙΚΑ " sheetId="2" r:id="rId2"/>
    <sheet name="ΓΝΑΘΟΧΕΙΡΟΥΡΓΙΚΑ" sheetId="3" r:id="rId3"/>
    <sheet name="ΓΕΝΙΚΗ ΧΕΙΡΟΥΡΓΙΚΗ" sheetId="4" r:id="rId4"/>
    <sheet name="ΓΥΝΑΙΚΟΛΟΓΙΚΗ" sheetId="5" r:id="rId5"/>
    <sheet name="ΕΠΕΜΒΑΤΙΚΗ ΑΚΤΙΝΟΛΟΓΙΑ" sheetId="6" r:id="rId6"/>
    <sheet name="ΕΠΕΜΒΑΤΙΚΗ ΚΑΡΔΙΟΛΟΓΙΑ" sheetId="7" r:id="rId7"/>
    <sheet name="ΗΛΕΚΤΡΟΦΥΣΙΟΛΟΓΙΑ" sheetId="8" r:id="rId8"/>
    <sheet name="ΘΕΡΑΠΕΙΕΣ ΠΟΝΟ ΜΕ ΣΥΣΚΕΥΕΣ" sheetId="9" r:id="rId9"/>
    <sheet name="INTERSTIM" sheetId="10" r:id="rId10"/>
    <sheet name="ΘΩΡΑΚΟΧΕΙΡΟΥΡΓΙΚΗ" sheetId="11" r:id="rId11"/>
    <sheet name="ΚΑΡΔΙΟΧΕΙΡΟΥΡΓΙΚΗ " sheetId="12" r:id="rId12"/>
    <sheet name="ΜΟΝΑΔΑ ΜΑΣΤΟΥ " sheetId="13" r:id="rId13"/>
    <sheet name="ΝΕΥΡΟΧΕΙΡΟΥΡΓΙΚΗ" sheetId="14" r:id="rId14"/>
    <sheet name="ΟΝΠ" sheetId="15" r:id="rId15"/>
    <sheet name="ΟΡΘΟΠΕΔΙΚΗ" sheetId="16" r:id="rId16"/>
    <sheet name="ΟΥΡΟΛΟΓΙΚΗ" sheetId="17" r:id="rId17"/>
    <sheet name="ΟΦΘΑΛΜΟΛΟΓΙΑ" sheetId="18" r:id="rId18"/>
    <sheet name="ΠΛΑΣΤΙΚΗ ΧΕΙΡΟΥΡΓΙΚΗ" sheetId="19" r:id="rId19"/>
    <sheet name="ΠΝΕΥΜΟΝΟΛΟΓΙΚΟ" sheetId="20" r:id="rId20"/>
    <sheet name="ΠΟΝΟΣ" sheetId="24" r:id="rId21"/>
    <sheet name="ΧΟΛΗΦΟΡΑ" sheetId="21" r:id="rId22"/>
    <sheet name="ΣΠΟΝΔΥΛΙΚΗ ΣΤΗΛΗ " sheetId="22" r:id="rId23"/>
    <sheet name="ΩΡΛ" sheetId="23" r:id="rId2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24" l="1"/>
  <c r="H11" i="24" s="1"/>
  <c r="F10" i="24"/>
  <c r="H10" i="24" s="1"/>
  <c r="F9" i="24"/>
  <c r="F8" i="24"/>
  <c r="H8" i="24" s="1"/>
  <c r="H7" i="24"/>
  <c r="F7" i="24"/>
  <c r="D12" i="9" l="1"/>
  <c r="D8" i="9"/>
  <c r="D7" i="9"/>
  <c r="E19" i="14"/>
  <c r="H31" i="10"/>
  <c r="E31" i="10"/>
  <c r="G31" i="10" s="1"/>
  <c r="I31" i="10" s="1"/>
  <c r="I30" i="10"/>
  <c r="H30" i="10"/>
  <c r="G30" i="10"/>
  <c r="H29" i="10"/>
  <c r="G29" i="10"/>
  <c r="I29" i="10" s="1"/>
  <c r="H28" i="10"/>
  <c r="G28" i="10"/>
  <c r="I28" i="10" s="1"/>
  <c r="E23" i="10"/>
  <c r="H23" i="10" s="1"/>
  <c r="H22" i="10"/>
  <c r="G22" i="10"/>
  <c r="I22" i="10" s="1"/>
  <c r="I21" i="10"/>
  <c r="H21" i="10"/>
  <c r="G21" i="10"/>
  <c r="H17" i="10"/>
  <c r="E17" i="10"/>
  <c r="G17" i="10" s="1"/>
  <c r="I17" i="10" s="1"/>
  <c r="H16" i="10"/>
  <c r="I16" i="10" s="1"/>
  <c r="G16" i="10"/>
  <c r="H15" i="10"/>
  <c r="G15" i="10"/>
  <c r="I15" i="10" s="1"/>
  <c r="E10" i="10"/>
  <c r="H10" i="10" s="1"/>
  <c r="H9" i="10"/>
  <c r="G9" i="10"/>
  <c r="I9" i="10" s="1"/>
  <c r="I8" i="10"/>
  <c r="H8" i="10"/>
  <c r="G8" i="10"/>
  <c r="H7" i="10"/>
  <c r="I7" i="10" s="1"/>
  <c r="G7" i="10"/>
  <c r="H6" i="10"/>
  <c r="G6" i="10"/>
  <c r="I6" i="10" s="1"/>
  <c r="G10" i="10" l="1"/>
  <c r="I10" i="10" s="1"/>
  <c r="G23" i="10"/>
  <c r="I23" i="10" s="1"/>
  <c r="I51" i="17"/>
  <c r="G51" i="17"/>
  <c r="I50" i="17"/>
  <c r="G50" i="17"/>
  <c r="I49" i="17"/>
  <c r="G49" i="17"/>
  <c r="I46" i="17"/>
  <c r="G46" i="17"/>
  <c r="I43" i="17"/>
  <c r="G43" i="17"/>
  <c r="I42" i="17"/>
  <c r="G42" i="17"/>
  <c r="I41" i="17"/>
  <c r="G41" i="17"/>
  <c r="I40" i="17"/>
  <c r="G40" i="17"/>
  <c r="I39" i="17"/>
  <c r="G39" i="17"/>
  <c r="I36" i="17"/>
  <c r="G36" i="17"/>
  <c r="I34" i="17"/>
  <c r="G34" i="17"/>
  <c r="I33" i="17"/>
  <c r="G33" i="17"/>
  <c r="I31" i="17"/>
  <c r="G31" i="17"/>
  <c r="I30" i="17"/>
  <c r="G30" i="17"/>
  <c r="I29" i="17"/>
  <c r="G29" i="17"/>
  <c r="I28" i="17"/>
  <c r="G28" i="17"/>
  <c r="I27" i="17"/>
  <c r="G27" i="17"/>
  <c r="I26" i="17"/>
  <c r="G26" i="17"/>
  <c r="I19" i="17"/>
  <c r="G19" i="17"/>
  <c r="I18" i="17"/>
  <c r="G18" i="17"/>
  <c r="I17" i="17"/>
  <c r="G17" i="17"/>
  <c r="I16" i="17"/>
  <c r="G16" i="17"/>
  <c r="I15" i="17"/>
  <c r="G15" i="17"/>
  <c r="I14" i="17"/>
  <c r="G14" i="17"/>
  <c r="I13" i="17"/>
  <c r="G13" i="17"/>
  <c r="I12" i="17"/>
  <c r="G12" i="17"/>
  <c r="I10" i="17"/>
  <c r="G10" i="17"/>
  <c r="I8" i="17"/>
  <c r="G8" i="17"/>
  <c r="I5" i="17"/>
  <c r="G5" i="17"/>
  <c r="I10" i="12" l="1"/>
  <c r="H10" i="12"/>
  <c r="G10" i="12"/>
  <c r="L9" i="12"/>
  <c r="K9" i="12"/>
  <c r="J9" i="12"/>
  <c r="I8" i="12"/>
  <c r="H8" i="12"/>
  <c r="G8" i="12"/>
  <c r="H7" i="12"/>
  <c r="G7" i="12"/>
  <c r="J6" i="12"/>
  <c r="I6" i="12"/>
  <c r="H6" i="12"/>
  <c r="L5" i="12"/>
  <c r="I5" i="12"/>
  <c r="D23" i="8" l="1"/>
  <c r="D24" i="8" s="1"/>
  <c r="D22" i="8"/>
  <c r="F22" i="8" s="1"/>
  <c r="G22" i="8" s="1"/>
  <c r="D19" i="8"/>
  <c r="D21" i="8" s="1"/>
  <c r="F21" i="8" s="1"/>
  <c r="G21" i="8" s="1"/>
  <c r="D18" i="8"/>
  <c r="D20" i="8" s="1"/>
  <c r="F20" i="8" s="1"/>
  <c r="G20" i="8" s="1"/>
  <c r="D16" i="8"/>
  <c r="F16" i="8" s="1"/>
  <c r="G16" i="8" s="1"/>
  <c r="F15" i="8"/>
  <c r="G15" i="8" s="1"/>
  <c r="D15" i="8"/>
  <c r="D14" i="8"/>
  <c r="F14" i="8" s="1"/>
  <c r="G14" i="8" s="1"/>
  <c r="F13" i="8"/>
  <c r="G13" i="8" s="1"/>
  <c r="D13" i="8"/>
  <c r="D12" i="8"/>
  <c r="F12" i="8" s="1"/>
  <c r="G12" i="8" s="1"/>
  <c r="F11" i="8"/>
  <c r="G11" i="8" s="1"/>
  <c r="D11" i="8"/>
  <c r="D10" i="8"/>
  <c r="F10" i="8" s="1"/>
  <c r="G10" i="8" s="1"/>
  <c r="F8" i="8"/>
  <c r="G8" i="8" s="1"/>
  <c r="F7" i="8"/>
  <c r="G7" i="8" s="1"/>
  <c r="D7" i="8"/>
  <c r="D6" i="8"/>
  <c r="F6" i="8" s="1"/>
  <c r="G6" i="8" s="1"/>
  <c r="F5" i="8"/>
  <c r="G5" i="8" s="1"/>
  <c r="D5" i="8"/>
  <c r="D4" i="8"/>
  <c r="F4" i="8" s="1"/>
  <c r="G4" i="8" s="1"/>
  <c r="F3" i="8"/>
  <c r="G3" i="8" s="1"/>
  <c r="D3" i="8"/>
  <c r="D25" i="8" l="1"/>
  <c r="F25" i="8" s="1"/>
  <c r="G25" i="8" s="1"/>
  <c r="F24" i="8"/>
  <c r="G24" i="8" s="1"/>
  <c r="F19" i="8"/>
  <c r="G19" i="8" s="1"/>
  <c r="F23" i="8"/>
  <c r="G23" i="8" s="1"/>
  <c r="F18" i="8"/>
  <c r="G18" i="8" s="1"/>
  <c r="O30" i="6"/>
  <c r="N30" i="6"/>
  <c r="P30" i="6" s="1"/>
  <c r="R30" i="6" l="1"/>
  <c r="S30" i="6" s="1"/>
  <c r="Q30" i="6"/>
  <c r="G6" i="2" l="1"/>
  <c r="F6" i="2"/>
  <c r="J40" i="1"/>
  <c r="I40" i="1"/>
  <c r="H40" i="1"/>
  <c r="G40" i="1" s="1"/>
  <c r="H35" i="1"/>
  <c r="I33" i="1"/>
  <c r="J33" i="1" s="1"/>
  <c r="H33" i="1"/>
  <c r="G33" i="1"/>
  <c r="J32" i="1"/>
  <c r="I32" i="1"/>
  <c r="H32" i="1"/>
  <c r="G32" i="1" s="1"/>
  <c r="J24" i="1"/>
  <c r="I24" i="1"/>
  <c r="H24" i="1"/>
  <c r="G24" i="1" s="1"/>
  <c r="J23" i="1"/>
  <c r="I23" i="1"/>
  <c r="H23" i="1"/>
  <c r="G23" i="1" s="1"/>
  <c r="J21" i="1"/>
  <c r="I21" i="1"/>
  <c r="H21" i="1"/>
  <c r="G21" i="1" s="1"/>
  <c r="J20" i="1"/>
  <c r="I20" i="1"/>
  <c r="H20" i="1"/>
  <c r="G20" i="1" s="1"/>
  <c r="J19" i="1"/>
  <c r="I19" i="1"/>
  <c r="H19" i="1"/>
  <c r="G19" i="1" s="1"/>
  <c r="J18" i="1"/>
  <c r="I18" i="1"/>
  <c r="H18" i="1"/>
  <c r="G18" i="1" s="1"/>
  <c r="J17" i="1"/>
  <c r="I17" i="1"/>
  <c r="H17" i="1"/>
  <c r="G17" i="1" s="1"/>
  <c r="J16" i="1"/>
  <c r="I16" i="1"/>
  <c r="H16" i="1"/>
  <c r="G1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Συντάκτης</author>
  </authors>
  <commentList>
    <comment ref="A7" authorId="0" shapeId="0" xr:uid="{C1F9D84B-412F-4AAD-AA66-159C35495AAC}">
      <text>
        <r>
          <rPr>
            <b/>
            <sz val="9"/>
            <color indexed="81"/>
            <rFont val="Tahoma"/>
            <family val="2"/>
            <charset val="161"/>
          </rPr>
          <t xml:space="preserve">Συντάκτης:
</t>
        </r>
      </text>
    </comment>
  </commentList>
</comments>
</file>

<file path=xl/sharedStrings.xml><?xml version="1.0" encoding="utf-8"?>
<sst xmlns="http://schemas.openxmlformats.org/spreadsheetml/2006/main" count="2657" uniqueCount="1250">
  <si>
    <t xml:space="preserve"> ΤΙΜΟΚΑΤΑΛΟΓΟΣ ΑΓΓΕΙΟΧΕΙΡΟΥΡΓΙΚΩΝ ΕΠΕΜΒΑΣΕΩΝ</t>
  </si>
  <si>
    <t>Α/Α</t>
  </si>
  <si>
    <t>ΠΕΡΙΓΡΑΦΗ ΠΡΑΞΗΣ</t>
  </si>
  <si>
    <t>KEN</t>
  </si>
  <si>
    <t>ΜΕΓΙΣΤΗ ΔΙΑΡΚΕΙΑ ΧΕΙΡΟΥΡΓΕΙΟΥ ΩΡΕΣ</t>
  </si>
  <si>
    <t>ΗΜΕΡΕΣ ΝΟΣΗΛΕΙΑΣ</t>
  </si>
  <si>
    <t xml:space="preserve">ΙΔΙΩΤΗΣ </t>
  </si>
  <si>
    <t>ΕΟΠΥΥ</t>
  </si>
  <si>
    <t>EXTRA</t>
  </si>
  <si>
    <t>ΠΑΡΑΤΗΡΗΣΕΙΣ</t>
  </si>
  <si>
    <t>ΗΜΕΡΟΜΗΝΙΑ ΑΛΛΑΓΗΣ ΤΙΜΟΚΑΤΑΛΟΓΟΥ</t>
  </si>
  <si>
    <t>ΚΛΙΝΗ ΘΑΛΑΜΟΥ</t>
  </si>
  <si>
    <t>ΒΑ3</t>
  </si>
  <si>
    <t>ΒΑ</t>
  </si>
  <si>
    <t>Δημιουργία νέας αγγειακής προσπέλασης (Fistula, μόσχευμα) για αιμοκάθαρση</t>
  </si>
  <si>
    <t>Π.Δ</t>
  </si>
  <si>
    <t>ODC</t>
  </si>
  <si>
    <t>ΕΟΠΥΥ: 50% κόστους Ειδικών Υλικών</t>
  </si>
  <si>
    <t>Αγγειοπλαστική ανω μεσεντερίου αρτηρίας</t>
  </si>
  <si>
    <t>Π.Δ.</t>
  </si>
  <si>
    <t>ΙΔΙΩΤΗΣ: 100% Κόστους Ειδικών Υλικών</t>
  </si>
  <si>
    <t>Αγγειοπλαστική αρτηριών άνω άκρων</t>
  </si>
  <si>
    <t>Αγγειοπλαστική αρτηριών κάτωθεν του γόνατος και του πέλματος</t>
  </si>
  <si>
    <t>Αγγειοπλαστική επιπολής και εν των βάθει μηριαίων αρτηριών</t>
  </si>
  <si>
    <t>Αγγειοπλαστική και στεντ καρωτιδικού διχασμού</t>
  </si>
  <si>
    <t>Αγγειοπλαστική και στεντ κοινής καρωτίδας</t>
  </si>
  <si>
    <t>Αγγειοπλαστική και στεντ υποκλειδίου αρτηρίας</t>
  </si>
  <si>
    <t>Αγγειοπλαστική με αεροθάλαμο απλό ή με παλξιταξέλη.</t>
  </si>
  <si>
    <t xml:space="preserve">ΙΔΙΩΤΗΣ: 100% Κόστους Ειδικών Υλικών </t>
  </si>
  <si>
    <t>Αγγειοπλαστική με στεντ ή καλυμμένο στέντ.</t>
  </si>
  <si>
    <t>Αγγειοπλαστική νεφρικών αρτηριών</t>
  </si>
  <si>
    <t>Άλλες αγγειοπλαστικές</t>
  </si>
  <si>
    <t>Ανεύρυσμα κοιλιακής αορτής (η ημέρα χειρουργείου στη ΜΕΘ)</t>
  </si>
  <si>
    <t>Κ08Χ</t>
  </si>
  <si>
    <t>Υλικά</t>
  </si>
  <si>
    <t>Αορτομηριαίο - αορτολαγόνιο by pass</t>
  </si>
  <si>
    <t>Αρτηριοπλαστική εν τω βάθει μηριαίας αρτηρίας</t>
  </si>
  <si>
    <t>Κ14Μβ</t>
  </si>
  <si>
    <t>Διερεύνηση ιγνυακής αρτηρίας</t>
  </si>
  <si>
    <t>Εκτομή ανευρύσματος λαγονίου αρτ. (η μέρα χειρουργείου στη ΜΕΘ)</t>
  </si>
  <si>
    <t>Εκτομή ανευρύσματος περιφερικής αρτηρίας (άκρων)</t>
  </si>
  <si>
    <t>Κ14Χ</t>
  </si>
  <si>
    <t>Ελάχιστα επεμβατική θεραπεία επιπλοκών της ενδοαγγειακής αποκατάστασης όπως ενδοδιαφυγών τύπου 2 [30% των ασθενών με EVAR].</t>
  </si>
  <si>
    <t>540€/ημέρα  ΜΑΠ πέρα της 1ης</t>
  </si>
  <si>
    <t>Εμβολεκτομή μηριαίας αρτηρίας</t>
  </si>
  <si>
    <t>Εμβολεκτομή περιφερικής αρτηρίας</t>
  </si>
  <si>
    <t xml:space="preserve">Εν τω βάθει φλεβοθρόμβωσης: θρομβόλυση και μηχανική θρομβεκτομή, αγγειοπλαστική και στεντ φλεβών. </t>
  </si>
  <si>
    <t>Ενδαγγειακή αποκατάσταση ανευρυσμάτων κατιούσης θωρακικής αορτής [TEVAR].</t>
  </si>
  <si>
    <t>Ενδαγγειακή αποκατάσταση ανευρυσμάτων λαγονίων αρτηριών και περιφερικών η σπλαχνικών αγγείων με τη χρήση καλυμμένων στεντ [stent-grafts], ή τροποποιητών ροής [flow modulators].</t>
  </si>
  <si>
    <t>ΙΔΙΩΤΗΣ: 100% Κόστους Ειδικών Υλικών 540€/ημέρα  ΜΑΠ πέρα της 1ης</t>
  </si>
  <si>
    <t>Ενδαγγειακή αποκατάσταση ανευρυσμάτων του αορτικού τόξου με ειδικά μοσχεύματα με πλάγιους κλάδους [branched TEVAR-bTEVAR].</t>
  </si>
  <si>
    <t>Ενδαγγειακή αποκατάσταση θωρακοκοιλιακών ανευρυσμάτων με μοσχεύματα με κλάδους η με θυρίδες [fenestrated/branched].</t>
  </si>
  <si>
    <t>Ενδαγγειακή αποκατάσταση στενο-αποφρακτικής νόσου αορτής και λαγονίων αρτηριών: χρήση απλών stent ή και stent-graft</t>
  </si>
  <si>
    <t xml:space="preserve">Ενδαγγειακή αποκατάσταση υπονεφρικών ανευρυσμάτων (κοιλιακά ανευρύσματα) [EVAR].	</t>
  </si>
  <si>
    <t xml:space="preserve">Κ68Α </t>
  </si>
  <si>
    <t>1096€ ή 186 €</t>
  </si>
  <si>
    <t>100% κόστους κλάδου μοσχ/τος&gt; 3 κλάδων</t>
  </si>
  <si>
    <t>Ενδαρτηρεκτομή αορτής-λαγονίου (η μέρα χειρουργείου στη ΜΕΘ)</t>
  </si>
  <si>
    <t>Ενδαρτηρεκτομή καρωτίδας (η μέρα χειρουργείου στη ΜΕΘ)</t>
  </si>
  <si>
    <t>Επεμβάσεις με αγγειοπλαστική και στεντ</t>
  </si>
  <si>
    <t>Θεραπεία φλεβικών κιρσών με ή χωρίς χρήση laser ή RF</t>
  </si>
  <si>
    <t xml:space="preserve">Κ20Α </t>
  </si>
  <si>
    <t>ODC/1</t>
  </si>
  <si>
    <t>-</t>
  </si>
  <si>
    <t>Θεραπεία φλεβικών κιρσών με laser ή ραδιοσυχνότητες (RFA).</t>
  </si>
  <si>
    <t>Περιλαμβάνεται Οπτική Ίνα ENDOTECH</t>
  </si>
  <si>
    <t>Περιλαμβάνεται Οπτική Ίνα INNOMED</t>
  </si>
  <si>
    <t>Περιλαμβάνεται Οπτική Ίνα MEDAPP</t>
  </si>
  <si>
    <t>Περιλαμβάνεται Οπτική Ίνα THERA LIFE ΛΑΤΙΝΑΚΗΣ</t>
  </si>
  <si>
    <t>Μηροϊγνιακή - μασχαλομηριαία - υποκλειδιοβραχιόνιος παράκαμψη</t>
  </si>
  <si>
    <t>Τεχνικές τοποθέτησης κεντρικών φλεβικών καθετήρων (για χημειοθεραπεία, παρεντερική σίτιση, αντιβιοτική αγωγή κ.α.)</t>
  </si>
  <si>
    <t xml:space="preserve">Τοποθέτηση μόνιμου καθετήρα αιμοκάθαρσης </t>
  </si>
  <si>
    <t xml:space="preserve">ODC </t>
  </si>
  <si>
    <t xml:space="preserve">καθετήρας εντός πακέτου </t>
  </si>
  <si>
    <t xml:space="preserve">Για ασθενείς της δικής μας μονάδας η τιμή διαμορφώνεται στα 250€ </t>
  </si>
  <si>
    <t xml:space="preserve">Τοποθέτηση προσωρινού καθετήρα αιμοκάθαρσης </t>
  </si>
  <si>
    <t xml:space="preserve">Για ασθενείς της δικής μας μονάδας η τιμή διαμορφώνεται στα 50€ </t>
  </si>
  <si>
    <t>Δωμάτιο</t>
  </si>
  <si>
    <t xml:space="preserve">Eπιπλέον πακέτου ΒΑ ανά ημέρα νοσηλείας με ΦΠΑ </t>
  </si>
  <si>
    <t>Α</t>
  </si>
  <si>
    <t>LUX</t>
  </si>
  <si>
    <t>SUITE</t>
  </si>
  <si>
    <t>ΜΑΦ</t>
  </si>
  <si>
    <t>ΜΕΘ</t>
  </si>
  <si>
    <t>Κόστος της ώρας χειρουργείου πέραν της οριζόμενης στη σχετική στήλη ορίζεται στα 230€ με ΦΠΑ</t>
  </si>
  <si>
    <t>ΕΠΕΞΗΓΗΣΕΙΣ</t>
  </si>
  <si>
    <t xml:space="preserve">ΠΑΡΑΤΗΡΗΣΕΙΣ </t>
  </si>
  <si>
    <t>Οι προσφερόμενες τιμές περιλαμβάνουν:                                                                                    
α. Κόστος Προεγχειρητικού έλεγχου (εκτός ODC): Γενική Αίματος, INR,ΗΚΓ, Καρδιολογική εξέταση, Kάλιο, Νάτριο, Ουρία, Κρεατινίνη, Α/Α Θώρακος F ή F &amp; P.                                                            β. Κόστος Προεγχειρητικού έλεγχου ODC: Γενική Αίματος, INR,ΗΚΓ.          
γ. Βασικά αναλώσιμα υλικά και συνήθη φάρμακα για την πραγματοποίηση της επέμβασης και την ολοκλήρωση της νοσηλείας (όπως αυτά ορίζονται από την κλινική).</t>
  </si>
  <si>
    <t>Ειδικά για τα ODC περιστατικά επιπλέον χρέωση 90€ για Καρδιολογική εξέταση, Κάλιο, Νάτριο, Ουρία, Κρεατινίνη, Α/Α Θώρακος F ή F &amp; P.</t>
  </si>
  <si>
    <t>Οποιαδήποτε παραμονή σε θάλαμο νοσηλείας χρεώνεται με την αντίστοιχη τιμή του τιμοκαταλόγου ανεξαρτήτως διανυκτέρευσης</t>
  </si>
  <si>
    <t xml:space="preserve">Η κλίνη νοσηλείας επιλέγεται κατόπιν διαθεσιμότητας. </t>
  </si>
  <si>
    <t xml:space="preserve">Οι τιμές των extra χρεώσεων επιβαρύνονται με ΦΠΑ. </t>
  </si>
  <si>
    <r>
      <rPr>
        <b/>
        <sz val="12"/>
        <color theme="7" tint="-0.499984740745262"/>
        <rFont val="Trebuchet MS"/>
        <family val="2"/>
        <charset val="161"/>
      </rPr>
      <t>ΜΑΠ</t>
    </r>
    <r>
      <rPr>
        <b/>
        <sz val="12"/>
        <color theme="1"/>
        <rFont val="Trebuchet MS"/>
        <family val="2"/>
        <charset val="161"/>
      </rPr>
      <t>/</t>
    </r>
    <r>
      <rPr>
        <b/>
        <sz val="12"/>
        <color rgb="FFFF0000"/>
        <rFont val="Trebuchet MS"/>
        <family val="2"/>
        <charset val="161"/>
      </rPr>
      <t>ΜΕΘ</t>
    </r>
  </si>
  <si>
    <r>
      <rPr>
        <b/>
        <u/>
        <sz val="12"/>
        <color rgb="FF002060"/>
        <rFont val="Trebuchet MS"/>
        <family val="2"/>
        <charset val="161"/>
      </rPr>
      <t>Φθηνό Evar:</t>
    </r>
    <r>
      <rPr>
        <sz val="10"/>
        <color theme="1"/>
        <rFont val="Trebuchet MS"/>
        <family val="2"/>
        <charset val="161"/>
      </rPr>
      <t>ΑΠΟΣΤΟΛΙΔΗΣ ΠΕΤΡΟΣ,ΑΥΓΟΣ ΣΤΑΥΡΟΣ,ΒΑΚΑΛΟΠΟΥΛΟΣ ΠΑΥΛΟΣ,ΓΕΡΟΥΛΑΚΟΣ ΓΕΩΡΓΙΟΣ, ΓΙΑΝΝΑΚΟΠΟΥΛΟΣ ΤΡΙΑΝΤΑΦΥΛΛΟΣ, ΓΚΕΚΑΣ ΧΡΗΣΤΟΣ, ΣΑΛΙΒΕΡΟΣ ΑΠΟΣΤΟΛΟΣ, ΤΖΙΛΑΛΗΣ ΒΑΣΙΛΕΙΟΣ, ΧΑΤΖΑΝΤΩΝΗΣ ΓΕΩΡΓΙΟΣ</t>
    </r>
  </si>
  <si>
    <r>
      <t>Κ20Α (</t>
    </r>
    <r>
      <rPr>
        <sz val="12"/>
        <color rgb="FFFF0000"/>
        <rFont val="Trebuchet MS"/>
        <family val="2"/>
        <charset val="161"/>
      </rPr>
      <t>2πλο ΚΕΝ αν είναι άμφω</t>
    </r>
    <r>
      <rPr>
        <sz val="12"/>
        <color theme="1"/>
        <rFont val="Trebuchet MS"/>
        <family val="2"/>
        <charset val="161"/>
      </rPr>
      <t>)</t>
    </r>
  </si>
  <si>
    <r>
      <rPr>
        <u/>
        <sz val="12"/>
        <color theme="1"/>
        <rFont val="Trebuchet MS"/>
        <family val="2"/>
        <charset val="161"/>
      </rPr>
      <t>ΠΕΡΙΓΡΑΦΗ ΠΡΑΞΗΣ</t>
    </r>
    <r>
      <rPr>
        <sz val="12"/>
        <color theme="1"/>
        <rFont val="Trebuchet MS"/>
        <family val="2"/>
        <charset val="161"/>
      </rPr>
      <t>: Ο τίτλος της πράξης προσδιορίζεται από τον Θεράποντα ιατρό και δηλώνεται εμπρόθεσμα στο τμήμα κίνησης ασθενών Δημόσιων Φορέων και Ιδιωτών. Επιβεβαιώνεται με το πέρας της από τη νοσηλευτική υπηρεσία του Χειρουργείου, η οποία επεμβαίνει προς το τμήμα κίνησης (ηλεκτρονική αλληλογραφία) μόνο σε περίπτωση διαφοροποίησης του τίτλου της πράξης εκ του αρχικού προσδιορισμού.</t>
    </r>
  </si>
  <si>
    <r>
      <rPr>
        <u/>
        <sz val="12"/>
        <color theme="1"/>
        <rFont val="Trebuchet MS"/>
        <family val="2"/>
        <charset val="161"/>
      </rPr>
      <t>ΜΕΓΙΣΤΗ ΔΙΑΡΚΕΙΑ Χ/ΓΕΙΟΥ (ώρες)</t>
    </r>
    <r>
      <rPr>
        <sz val="12"/>
        <color theme="1"/>
        <rFont val="Trebuchet MS"/>
        <family val="2"/>
        <charset val="161"/>
      </rPr>
      <t>: Ο χρόνος του χειρουργείου δηλώνεται με ευθύνη της νοσηλευτικής υπηρεσίας στο τμήμα κίνησης ασθενών Δημόσιων Φορέων και Ιδιωτών μετά το πέρας της πράξης. Η διάρκεια ορίζεται ως η χρονική μεταβολή από τη στιγμή έναρξης της χειρουργικής επέμβασης ως την στιγμή λήξης αυτής (καθαρός χειρουργικός χρόνος).</t>
    </r>
  </si>
  <si>
    <r>
      <rPr>
        <u/>
        <sz val="12"/>
        <color rgb="FFFF0000"/>
        <rFont val="Trebuchet MS"/>
        <family val="2"/>
        <charset val="161"/>
      </rPr>
      <t>ΚΕΝ</t>
    </r>
    <r>
      <rPr>
        <u/>
        <sz val="12"/>
        <color theme="1"/>
        <rFont val="Trebuchet MS"/>
        <family val="2"/>
        <charset val="161"/>
      </rPr>
      <t>/</t>
    </r>
    <r>
      <rPr>
        <u/>
        <sz val="12"/>
        <color theme="5" tint="-0.249977111117893"/>
        <rFont val="Trebuchet MS"/>
        <family val="2"/>
        <charset val="161"/>
      </rPr>
      <t>ΠΔ</t>
    </r>
    <r>
      <rPr>
        <sz val="12"/>
        <color theme="1"/>
        <rFont val="Trebuchet MS"/>
        <family val="2"/>
        <charset val="161"/>
      </rPr>
      <t>: Ανάλογα με τον τίτλο της επέμβασης (icd-10) ορίζεται αντίστοιχα η χρήση Κλειστού ενοποημένου νοσήλιου (</t>
    </r>
    <r>
      <rPr>
        <sz val="12"/>
        <color rgb="FFFF0000"/>
        <rFont val="Trebuchet MS"/>
        <family val="2"/>
        <charset val="161"/>
      </rPr>
      <t>ΚΕΝ</t>
    </r>
    <r>
      <rPr>
        <sz val="12"/>
        <color theme="1"/>
        <rFont val="Trebuchet MS"/>
        <family val="2"/>
        <charset val="161"/>
      </rPr>
      <t xml:space="preserve">) ή η χρέωση ημέρας νοσηλείας </t>
    </r>
    <r>
      <rPr>
        <sz val="12"/>
        <color theme="5" tint="-0.249977111117893"/>
        <rFont val="Trebuchet MS"/>
        <family val="2"/>
        <charset val="161"/>
      </rPr>
      <t>ΠΔ</t>
    </r>
    <r>
      <rPr>
        <sz val="12"/>
        <color theme="1"/>
        <rFont val="Trebuchet MS"/>
        <family val="2"/>
        <charset val="161"/>
      </rPr>
      <t xml:space="preserve"> (ΦΕΚ/Β/2115)</t>
    </r>
  </si>
  <si>
    <r>
      <rPr>
        <u/>
        <sz val="12"/>
        <color theme="1"/>
        <rFont val="Trebuchet MS"/>
        <family val="2"/>
        <charset val="161"/>
      </rPr>
      <t>ΗΜΕΡΕΣ ΝΟΣΗΛΕΙΑΣ</t>
    </r>
    <r>
      <rPr>
        <sz val="12"/>
        <color theme="1"/>
        <rFont val="Trebuchet MS"/>
        <family val="2"/>
        <charset val="161"/>
      </rPr>
      <t>: Σύμφωνα με την ιστορικότητα των επεμβάσεων προσδιορίζεται ο μέγιστος χρόνος νοσηλείας σε ημέρες. Ημέρα νοσηλείας προσμετράται σε κάθε διανυκτέρεση, δηλαδή ενεργή νοσηλεία κατόπιν της 00.00 πμ. ΜΕΘ/ΜΑΠ: Κατά τη διάρκεια της νοσηλείας προσδιορίζεται ο μέγιστος χρόνος παραμονής σε Κλίνη της Μονάδας Εντατικής Θεραπείας (ΜΕΘ), ή σε κλίνη Μονάδας αυξημένης προστασίας (ΜΑΠ).</t>
    </r>
  </si>
  <si>
    <r>
      <rPr>
        <u/>
        <sz val="12"/>
        <color theme="1"/>
        <rFont val="Trebuchet MS"/>
        <family val="2"/>
        <charset val="161"/>
      </rPr>
      <t xml:space="preserve">ODC: </t>
    </r>
    <r>
      <rPr>
        <sz val="12"/>
        <color theme="1"/>
        <rFont val="Trebuchet MS"/>
        <family val="2"/>
        <charset val="161"/>
      </rPr>
      <t>Παραμονή στις κλίνες ODC στο ισόγειο και χρήση χειρουργείων ισογείου (επίπεδο 0)</t>
    </r>
  </si>
  <si>
    <r>
      <rPr>
        <u/>
        <sz val="12"/>
        <color theme="1"/>
        <rFont val="Trebuchet MS"/>
        <family val="2"/>
        <charset val="161"/>
      </rPr>
      <t>ΒΑ3</t>
    </r>
    <r>
      <rPr>
        <sz val="12"/>
        <color theme="1"/>
        <rFont val="Trebuchet MS"/>
        <family val="2"/>
        <charset val="161"/>
      </rPr>
      <t xml:space="preserve">: Θάλαμος νοσηλείας 3 κλινών / </t>
    </r>
    <r>
      <rPr>
        <u/>
        <sz val="12"/>
        <color theme="1"/>
        <rFont val="Trebuchet MS"/>
        <family val="2"/>
        <charset val="161"/>
      </rPr>
      <t>ΒΑ</t>
    </r>
    <r>
      <rPr>
        <sz val="12"/>
        <color theme="1"/>
        <rFont val="Trebuchet MS"/>
        <family val="2"/>
        <charset val="161"/>
      </rPr>
      <t>: Θάλαμος νοσηλείας 2 κλινών /</t>
    </r>
    <r>
      <rPr>
        <u/>
        <sz val="12"/>
        <color theme="1"/>
        <rFont val="Trebuchet MS"/>
        <family val="2"/>
        <charset val="161"/>
      </rPr>
      <t>Α</t>
    </r>
    <r>
      <rPr>
        <sz val="12"/>
        <color theme="1"/>
        <rFont val="Trebuchet MS"/>
        <family val="2"/>
        <charset val="161"/>
      </rPr>
      <t xml:space="preserve"> Θάλαμος νοσηλείας 1 κλίνης</t>
    </r>
  </si>
  <si>
    <r>
      <rPr>
        <u/>
        <sz val="12"/>
        <color theme="1"/>
        <rFont val="Trebuchet MS"/>
        <family val="2"/>
        <charset val="161"/>
      </rPr>
      <t>Extra:</t>
    </r>
    <r>
      <rPr>
        <sz val="12"/>
        <color theme="1"/>
        <rFont val="Trebuchet MS"/>
        <family val="2"/>
        <charset val="161"/>
      </rPr>
      <t xml:space="preserve"> Προσδιορίζεται το κόστος που επιβαρύνει το περιστατικό πέραν των τιμών του πίνακα. Ο προσδιορισμός γίνεται κατά περίπτωση και ο θεράπων ιατρός ενημερώνεται σχετικά από στελέχη του Τομέα Κίνησης και υποβολών</t>
    </r>
  </si>
  <si>
    <r>
      <rPr>
        <u/>
        <sz val="12"/>
        <color theme="1"/>
        <rFont val="Trebuchet MS"/>
        <family val="2"/>
        <charset val="161"/>
      </rPr>
      <t>ΕΙΔΙΚΑ ΥΛΙΚΑ</t>
    </r>
    <r>
      <rPr>
        <sz val="12"/>
        <color theme="1"/>
        <rFont val="Trebuchet MS"/>
        <family val="2"/>
        <charset val="161"/>
      </rPr>
      <t>: προσδιορίζεται το κόστος οποιουδήποτε υλικού ή φαρμάκου πέραν των απαραίτητων  αναλώσιμων, υγειονομικών υλικών και φαρμάκων αναισθησίας αντίστοιχα . Ο προσδιορισμός γίνεται κατά περίπτωση και ο θεράπων ιατρός ενημερώνεται σχετικά από στελέχη του Τομέα Κίνησης και υποβολών.</t>
    </r>
    <r>
      <rPr>
        <i/>
        <sz val="12"/>
        <color theme="1"/>
        <rFont val="Trebuchet MS"/>
        <family val="2"/>
        <charset val="161"/>
      </rPr>
      <t xml:space="preserve"> Τα παραπάνω πακέτα τιμών περιλαμβάνουν κόστη σύμφωνα με την ιστορικότητα των επεμβάσεων εξασφαλίζοντας έτσι τη μικρότερη δυνατή περαιτέρω επιβάρυνση του ασθενή. </t>
    </r>
  </si>
  <si>
    <t>ΤΙΜΟΚΑΤΑΛΟΓΟΣ ΓΑΣΤΡΕΝΤΕΡΟΛΟΓΙΚΩΝ ΠΑΚΕΤΩΝ</t>
  </si>
  <si>
    <t xml:space="preserve">   ΤΙΜΟΚΑΤΑΛΟΓΟΣ  ΠΡΑΞΕΩΝ Κ.ΜΑΥΡΟΓΕΝΗ</t>
  </si>
  <si>
    <t>HM</t>
  </si>
  <si>
    <t>ΧΡΟΝΟΣ</t>
  </si>
  <si>
    <t>ΔΩΜΑΤΙΟ</t>
  </si>
  <si>
    <t>ΕΟΠΠΥ ΝΕΟΣ 01.02.22</t>
  </si>
  <si>
    <t>ΙΔΙΩΤΗΣ</t>
  </si>
  <si>
    <t>Παρατηρήσεις</t>
  </si>
  <si>
    <t>ESD ΣΤΟΜΑΧΟΥ</t>
  </si>
  <si>
    <t>Π27Χ</t>
  </si>
  <si>
    <t>ΕΩΣ 2h</t>
  </si>
  <si>
    <r>
      <t>200€ / η κάθε επιπλέον ώρα χειρουργικού χρόνου -</t>
    </r>
    <r>
      <rPr>
        <b/>
        <sz val="11"/>
        <color rgb="FFFF0000"/>
        <rFont val="Trebuchet MS"/>
        <family val="2"/>
        <charset val="161"/>
      </rPr>
      <t>ΕΞΤΡΑ ΧΡΕΩΣΗ CT ΘΩΡΑΚΟΣ 100€</t>
    </r>
  </si>
  <si>
    <t>200€/ημέρα ΚΆΘΕ ΕΠΟΜΕΝΗ ΣΕ ΒΑ.</t>
  </si>
  <si>
    <t>ESD ΕΝΤΕΡΟΥ</t>
  </si>
  <si>
    <t xml:space="preserve">Π28Χ </t>
  </si>
  <si>
    <t>ΔΕΝ ΠΕΡΙΛΑΜΒΑΝΕΤΑΙ αμοιβή αναισθησιολόγου 300€ (ΕΩΣ 2 ΩΡΕΣ, έπειτα 100€/ ώρα)</t>
  </si>
  <si>
    <t xml:space="preserve">POEM </t>
  </si>
  <si>
    <t>BA</t>
  </si>
  <si>
    <t>ΔΕΝ ΠΕΡΙΛΑΜΒΑΝΟΝΤΑΙ ΥΛΙΚΑ, ΙΣΤΟΛΟΓΙΚΕΣ (50€ η πρώτη και από 20€ η κάθε επόμενη).</t>
  </si>
  <si>
    <t>Οι ανωτέρω τιμές περιλαμβάνουν ΦΠΑ 24%.</t>
  </si>
  <si>
    <t>Οι ESD πράξεις (στομάχου και εντέρου) καθώς και η POEM πραγματοποιούνται σε αίθουσα του ενδοσκοπικού.</t>
  </si>
  <si>
    <t>ΗΜ</t>
  </si>
  <si>
    <t>ΧΡΟΝΟΣ ΠΡΑΞΗΣ</t>
  </si>
  <si>
    <t xml:space="preserve">ΕΟΠΥΥ </t>
  </si>
  <si>
    <t>ΔΙΑΣΤΟΛΗ ΟΙΣΟΦΑΓΟΥ</t>
  </si>
  <si>
    <r>
      <t>Π27Α</t>
    </r>
    <r>
      <rPr>
        <sz val="10"/>
        <color rgb="FF000000"/>
        <rFont val="Trebuchet MS"/>
        <family val="2"/>
        <charset val="161"/>
      </rPr>
      <t xml:space="preserve"> Άλλες ενδοσκοπήσεις ανώτερου πεπτικού, ημερήσια νοσηλεία</t>
    </r>
  </si>
  <si>
    <t>ΈΩΣ 1 ΏΡΑ</t>
  </si>
  <si>
    <t>200€ / η κάθε επιπλέον ώρα χειρουργικού χρόνου            Extra χρέωση CT Θώρακος 100€.                                   Extra χρέωση αναισθησιολόγου 200€</t>
  </si>
  <si>
    <t>Περιλαμβάνει κόστος Mπαλονιού Boston CRE PRO Wireguided REF M00558680  αξίας 387€.</t>
  </si>
  <si>
    <t>Η πράξη πραγματοποιείται στην αίθουσα του ενδοσκοπικού</t>
  </si>
  <si>
    <t>ΠΟΛΥΠΕΚΤΟΜΗ ΣΤΟΜΑΧΟΥ  12ΔΑΚΤΥΛΟΥ</t>
  </si>
  <si>
    <r>
      <t xml:space="preserve">Π27Α </t>
    </r>
    <r>
      <rPr>
        <sz val="10"/>
        <color rgb="FF000000"/>
        <rFont val="Trebuchet MS"/>
        <family val="2"/>
        <charset val="161"/>
      </rPr>
      <t xml:space="preserve">Άλλες ενδοσκοπήσεις ανώτερου πεπτικού, ημερήσια νοσηλεία ή               </t>
    </r>
    <r>
      <rPr>
        <b/>
        <sz val="10"/>
        <color rgb="FF000000"/>
        <rFont val="Trebuchet MS"/>
        <family val="2"/>
        <charset val="161"/>
      </rPr>
      <t>Π28Α</t>
    </r>
    <r>
      <rPr>
        <sz val="10"/>
        <color rgb="FF000000"/>
        <rFont val="Trebuchet MS"/>
        <family val="2"/>
        <charset val="161"/>
      </rPr>
      <t xml:space="preserve"> Ενδοσκόπηση κατώτερου πεπτικού, ημερήσια νοσηλεία </t>
    </r>
  </si>
  <si>
    <t xml:space="preserve">ΕΩΣ 1ΏΡΑ </t>
  </si>
  <si>
    <t>200€ / η κάθε επιπλέον ώρα χειρουργικού χρόνου             Δεν περιλαμβάνονται ιστολογικές &amp; το κόστος Clips</t>
  </si>
  <si>
    <t>Το πακέτο περιλαμβάνει τα συνήθη υλικά πολυπεκτομής</t>
  </si>
  <si>
    <t xml:space="preserve">Η πράξη πραγματοποιείται στην αίθουσα του ενδοσκοπικού </t>
  </si>
  <si>
    <t>RFA ΟΙΣΟΦΑΓΟΥ BARRETT ΥΠΟ ΓΕΝΙΚΗ ΑΝΑΙΣΘΗΣΙΑ</t>
  </si>
  <si>
    <t>Π27Α Άλλες ενδοσκοπήσεις ανώτερου πεπτικού, ημερήσια νοσηλεία</t>
  </si>
  <si>
    <t xml:space="preserve">200€ / η κάθε επιπλέον ώρα χειρουργικού χρόνου </t>
  </si>
  <si>
    <t xml:space="preserve">Περιλαμβάνεται καθετήρας MEDTRONIC αξίας 2.232€ με φπα                            </t>
  </si>
  <si>
    <t xml:space="preserve">Δεν περιλαμβάνονται ιστολογικές </t>
  </si>
  <si>
    <t xml:space="preserve">ΧΡΟΝΟΧΡΕΩΣΗ </t>
  </si>
  <si>
    <t xml:space="preserve">ΤΟΠΙΚΗ </t>
  </si>
  <si>
    <t>Ιστολογική</t>
  </si>
  <si>
    <t xml:space="preserve">Έως 30' </t>
  </si>
  <si>
    <t>31'-60'</t>
  </si>
  <si>
    <t>&gt;61'</t>
  </si>
  <si>
    <t>70€ για κάθε επιπλέον ώρα</t>
  </si>
  <si>
    <t>100€ για κάθε επιπλέον ώρα</t>
  </si>
  <si>
    <t>130€ για κάθε επιπλέον ώρα</t>
  </si>
  <si>
    <t xml:space="preserve">Κλινική </t>
  </si>
  <si>
    <t>Αναισθησιολόγος</t>
  </si>
  <si>
    <t>ΚΕΝ</t>
  </si>
  <si>
    <t>ΗΜΙΠΑΡΑΜΟΝΗ ΣΕ 5ΚΛΙΝΟ 501/502</t>
  </si>
  <si>
    <t>Έως 1 ώρα</t>
  </si>
  <si>
    <t>ΗΜΙΠΑΡΑΜΟΝΗ ΣΕ ΔΙΚΛΙΝΟ</t>
  </si>
  <si>
    <t>ΠΑΡΑΜΟΝΗ ΕΩΣ ΚΑΙ ΜΙΑ ΗΜΕΡΑ ΣΕ ΔΙΚΛΙΝΟ</t>
  </si>
  <si>
    <t>Ω04Χ</t>
  </si>
  <si>
    <t>Εως 2 ώρες</t>
  </si>
  <si>
    <t>Για την κλινική κάθε επιπλέον ώρα 210,80€ με φπα</t>
  </si>
  <si>
    <t xml:space="preserve">Για την Αμ.Αναισθησιολόγου κάθε επιπλέον ώρα 50€ </t>
  </si>
  <si>
    <t>ΔΕΝ ΠΕΡΙΛΑΜΒΑΝΟΥΝ ΥΛΙΚΑ</t>
  </si>
  <si>
    <t>ΤΙΜΟΚΑΤΑΛΟΓΟΣ ΟΔΟΝΤΙΑΤΡΙΚΩΝ ΠΡΑΞΕΩΝ ΣΤΑ ΕΞΩΤΕΡΙΚΑ ΙΑΤΡΕΙΑ</t>
  </si>
  <si>
    <t>Απόδοση μεριδολογίου</t>
  </si>
  <si>
    <t>50 € θα αποδίδεται στον αναισθησιολόγο συνεργάτη μέσω μεριδολογίου</t>
  </si>
  <si>
    <t>100 € για κάθε επιπλέον ώρα</t>
  </si>
  <si>
    <t>130 € για κάθε επιπλέον ώρα</t>
  </si>
  <si>
    <t>25 € θα αποδίδεται στον αναισθησιολόγο συνεργάτη μέσω μεριδολογίου</t>
  </si>
  <si>
    <t>Για πολύωρες πράξεις θα γίνεται ειδική συμφωνία</t>
  </si>
  <si>
    <t xml:space="preserve">  ΤΙΜΟΚΑΤΑΛΟΓΟΣ ΓΕΝΙΚΗΣ ΧΕΙΡΟΥΡΓΙΚΗΣ</t>
  </si>
  <si>
    <t>ΕΟΠΥΥ ΒA3
2026</t>
  </si>
  <si>
    <t>ΕΟΠΥΥ ΒΑ
2026</t>
  </si>
  <si>
    <t>ΙΔΙΩΤΗΣ ΒA3
2026</t>
  </si>
  <si>
    <t>ΙΔΙΩΤΗΣ ΒΑ
2026</t>
  </si>
  <si>
    <r>
      <rPr>
        <b/>
        <sz val="11"/>
        <color theme="7" tint="-0.499984740745262"/>
        <rFont val="Trebuchet MS"/>
        <family val="2"/>
        <charset val="161"/>
      </rPr>
      <t>ΜΑΠ</t>
    </r>
    <r>
      <rPr>
        <b/>
        <sz val="11"/>
        <color theme="1"/>
        <rFont val="Trebuchet MS"/>
        <family val="2"/>
        <charset val="161"/>
      </rPr>
      <t>/</t>
    </r>
    <r>
      <rPr>
        <b/>
        <sz val="11"/>
        <color rgb="FFFF0000"/>
        <rFont val="Trebuchet MS"/>
        <family val="2"/>
        <charset val="161"/>
      </rPr>
      <t>ΜΕΘ</t>
    </r>
  </si>
  <si>
    <t>ΕΟΠΥΥ 
2026</t>
  </si>
  <si>
    <t>Ακρωτηριασμός κνήμης</t>
  </si>
  <si>
    <t>Μ07Α</t>
  </si>
  <si>
    <t>Υλικά + Έξοδα ταφής μέλους</t>
  </si>
  <si>
    <t>Ακρωτηριασμός μηρού</t>
  </si>
  <si>
    <t>Ακρωτηριασμός δακτύλου</t>
  </si>
  <si>
    <t>Κ13Χ</t>
  </si>
  <si>
    <t>Βουβωνοκήλη – Ομφαλοκήλη - Μηροκήλη 1 πλευρά</t>
  </si>
  <si>
    <t>Π10Χ</t>
  </si>
  <si>
    <t>Βουβωνοκήλη – Ομφαλοκήλη - Μηροκήλη άμφω</t>
  </si>
  <si>
    <t>Γαστρεκτομή  ολική (την ημέρα της επέμβασης παραμένει στη ΜΕΘ/ΜΑΦ) κακοήθεια</t>
  </si>
  <si>
    <t>Π03Μ</t>
  </si>
  <si>
    <t>Υλικά + Φάρμακα</t>
  </si>
  <si>
    <t>Γαστρεκτομή υφολική κακοήθεια</t>
  </si>
  <si>
    <t>Γαστροεντεροαναστόμωση</t>
  </si>
  <si>
    <t>Π03Χα</t>
  </si>
  <si>
    <t>Διερεύνηση Χοληδόχου Πόρου</t>
  </si>
  <si>
    <t>Η02Χ</t>
  </si>
  <si>
    <t>Εκτομή Παραεδρικού συριγγίου</t>
  </si>
  <si>
    <t>Δ09Α</t>
  </si>
  <si>
    <t xml:space="preserve">Εκτομή Παραεδρικού συριγγίου </t>
  </si>
  <si>
    <t>Εντερεκτομή λεπτού εντέρου</t>
  </si>
  <si>
    <t>Π02Χ</t>
  </si>
  <si>
    <t>Επέμβαση Whipple (1Η ημέρα ΜΕΘ)</t>
  </si>
  <si>
    <t>Η01Μ</t>
  </si>
  <si>
    <t>Επέμβαση Αιμορροΐδων</t>
  </si>
  <si>
    <t xml:space="preserve">Π11Α </t>
  </si>
  <si>
    <t>Επινεφριδεκτομή</t>
  </si>
  <si>
    <t>Θ03Α</t>
  </si>
  <si>
    <t>Ηπατεκτομή τυπική - άτυπος</t>
  </si>
  <si>
    <t>H01X</t>
  </si>
  <si>
    <t xml:space="preserve">Θυρεοειδεκτομή </t>
  </si>
  <si>
    <r>
      <t>Θ06Χ/</t>
    </r>
    <r>
      <rPr>
        <sz val="12"/>
        <color rgb="FFFF0000"/>
        <rFont val="Trebuchet MS"/>
        <family val="2"/>
        <charset val="161"/>
      </rPr>
      <t xml:space="preserve"> Θ06Μ</t>
    </r>
  </si>
  <si>
    <t>Κήλη κοιλιακού τοιχώματος μεγάλη</t>
  </si>
  <si>
    <t>ΠΔ</t>
  </si>
  <si>
    <t>Κήλη κοιλιακού τοιχώματος μεσαία</t>
  </si>
  <si>
    <t>Κοιλιοπερινεϊκή εκτομή</t>
  </si>
  <si>
    <t>Π01Χ</t>
  </si>
  <si>
    <t>Κολεκτομή (5 ΗΜΕΡΩΝ)</t>
  </si>
  <si>
    <t>Κολεκτομή (7 ΗΜΕΡΩΝ)</t>
  </si>
  <si>
    <t>Κύστη κόκκυγος</t>
  </si>
  <si>
    <t>Υλικά / + 264,00 € χρήση ίνας Laser</t>
  </si>
  <si>
    <t>Κύστη ωοθήκης ανοικτά</t>
  </si>
  <si>
    <t>Γ07Α</t>
  </si>
  <si>
    <t>Λαπαροσκοπική sleeve gastrectomy</t>
  </si>
  <si>
    <r>
      <t xml:space="preserve">Θ04Χ  </t>
    </r>
    <r>
      <rPr>
        <sz val="12"/>
        <color rgb="FFFF0000"/>
        <rFont val="Trebuchet MS"/>
        <family val="2"/>
        <charset val="161"/>
      </rPr>
      <t xml:space="preserve">
ΘΕΛΕΙ ΕΓΚΡΙΣΗ ΚΕΣΥ</t>
    </r>
  </si>
  <si>
    <t>ΘΕΛΕΙ ΕΓΚΡΙΣΗ ΚΕΣΥ</t>
  </si>
  <si>
    <t>Λαπαροσκοπική βιοψία ήπατος</t>
  </si>
  <si>
    <t>Η05Χ</t>
  </si>
  <si>
    <t xml:space="preserve">Λαπαροσκοπική βουβωνοκήλη </t>
  </si>
  <si>
    <t>Λαπαροσκοπική διαφραγματοκήλη</t>
  </si>
  <si>
    <t>Π03Χβ</t>
  </si>
  <si>
    <t>Λαπαροσκοπική κοιλιοκήλη</t>
  </si>
  <si>
    <t>Λαπαροσκοπική κύστη ωοθήκης</t>
  </si>
  <si>
    <t>Γ08Α</t>
  </si>
  <si>
    <t>Λαπαροσκοπική σκωληκοειδεκτομή τακτική</t>
  </si>
  <si>
    <t>Π07Χ</t>
  </si>
  <si>
    <t>Λαπαροσκοπική τοποθέτηση γαστρ. δακτυλίου</t>
  </si>
  <si>
    <r>
      <t xml:space="preserve">Θ07Α                </t>
    </r>
    <r>
      <rPr>
        <sz val="12"/>
        <color rgb="FFFF0000"/>
        <rFont val="Trebuchet MS"/>
        <family val="2"/>
        <charset val="161"/>
      </rPr>
      <t>ΘΕΛΕΙ ΕΓΚΡΙΣΗ ΚΕΣΥ</t>
    </r>
  </si>
  <si>
    <t>Λαπαροσκοπική χολοκυστεκτομή</t>
  </si>
  <si>
    <t>Η08Χ</t>
  </si>
  <si>
    <t xml:space="preserve">Μικρή ομφαλοκήλη </t>
  </si>
  <si>
    <t>Νεφρεκτομή επί καρκίνου</t>
  </si>
  <si>
    <t>Υ03Χ</t>
  </si>
  <si>
    <t>Ολική υστερεκτομή + Εξαρτήματα</t>
  </si>
  <si>
    <t>Γ04Χ</t>
  </si>
  <si>
    <t>Παγκρεατεκτομή (περιλαμβάνει 1ΜΕΘ)</t>
  </si>
  <si>
    <t>Υλικά+Φάρμακα</t>
  </si>
  <si>
    <t>Παραθυρεοδεκτομή</t>
  </si>
  <si>
    <t>Θ05Χ</t>
  </si>
  <si>
    <t>Περιεδρικό απόστημα</t>
  </si>
  <si>
    <t>Ραγάς πρωκτικού δακτυλίου</t>
  </si>
  <si>
    <t>ODC / 1</t>
  </si>
  <si>
    <t>Ριζικός λεμφαδενικός καθαρισμός βουβώνος άμφω</t>
  </si>
  <si>
    <t>Δ29Χ</t>
  </si>
  <si>
    <t>Ριζικός λεμφαδενικός καθαρισμός μασχάλης</t>
  </si>
  <si>
    <t>Ριζικός λεμφαδενικός καθαρισμός πυέλου</t>
  </si>
  <si>
    <t>Δ29Μ</t>
  </si>
  <si>
    <t>Ριζικός λεμφαδενικός καθαρισμός τραχήλου</t>
  </si>
  <si>
    <t>Ω02Μβ</t>
  </si>
  <si>
    <t>Σκωληκοειδεκτομή τακτική</t>
  </si>
  <si>
    <t>Σύγκλειση ειλεοστομίας</t>
  </si>
  <si>
    <t>Π11Α 
(Χ 668587)</t>
  </si>
  <si>
    <t>Χαμηλή πρόσθια εκτομή παχέως εντέρου</t>
  </si>
  <si>
    <t>Χολοκυστεκτομή ανοικτή</t>
  </si>
  <si>
    <t>Η07Χ</t>
  </si>
  <si>
    <t>Χολοκυστεκτομή χολοπεπτική αναστόμωση</t>
  </si>
  <si>
    <t>Η08Μ</t>
  </si>
  <si>
    <t>Μόνο για τον κ. Κυριαζάνο</t>
  </si>
  <si>
    <t>HIPEC</t>
  </si>
  <si>
    <t>Συμπεριλαμβάνεται και αξονική και δεύτερη επέμβαση -σε περίπτωση που είναι απαραίτητο</t>
  </si>
  <si>
    <t>ΧΩΡΙΣ ΠΑΡΑΜΟΝΗ - ΤΟΠΙΚΗ</t>
  </si>
  <si>
    <t xml:space="preserve">Αφαίρεση δερματικών βλαβών   </t>
  </si>
  <si>
    <t xml:space="preserve">Αφαίρεση σμηγματογόνου κύστεως </t>
  </si>
  <si>
    <t>Ονυχεκτομή μερική ολική</t>
  </si>
  <si>
    <t>Κόστος της ώρας χειρουργείου πέραν της οριζόμενης στη σχετική στήλη ορίζεται στα 230€ με Φ.Π.Α.</t>
  </si>
  <si>
    <r>
      <rPr>
        <u/>
        <sz val="12"/>
        <color theme="1"/>
        <rFont val="Trebuchet MS"/>
        <family val="2"/>
        <charset val="161"/>
      </rPr>
      <t>ΒA3</t>
    </r>
    <r>
      <rPr>
        <sz val="12"/>
        <color theme="1"/>
        <rFont val="Trebuchet MS"/>
        <family val="2"/>
        <charset val="161"/>
      </rPr>
      <t xml:space="preserve">: Θάλαμος νοσηλείας 3 κλινών / </t>
    </r>
    <r>
      <rPr>
        <u/>
        <sz val="12"/>
        <color theme="1"/>
        <rFont val="Trebuchet MS"/>
        <family val="2"/>
        <charset val="161"/>
      </rPr>
      <t>ΒΑ</t>
    </r>
    <r>
      <rPr>
        <sz val="12"/>
        <color theme="1"/>
        <rFont val="Trebuchet MS"/>
        <family val="2"/>
        <charset val="161"/>
      </rPr>
      <t>: Θάλαμος νοσηλείας 2 κλινών /</t>
    </r>
    <r>
      <rPr>
        <u/>
        <sz val="12"/>
        <color theme="1"/>
        <rFont val="Trebuchet MS"/>
        <family val="2"/>
        <charset val="161"/>
      </rPr>
      <t>Α</t>
    </r>
    <r>
      <rPr>
        <sz val="12"/>
        <color theme="1"/>
        <rFont val="Trebuchet MS"/>
        <family val="2"/>
        <charset val="161"/>
      </rPr>
      <t xml:space="preserve"> Θάλαμος νοσηλείας 1 κλίνης</t>
    </r>
  </si>
  <si>
    <t>Οι προσφερόμενες τιμές περιλαμβάνουν:                                                                                    
α. Κόστος Προεγχειρητικού έλεγχου (εκτός ODC): Γενική Αίματος, INR, ΗΚΓ, Καρδιολογική εξέταση, Κάλιο, Νάτριο, Ουρία, Κρεατινίνη, Α/Α Θώρακος F ή F &amp; P.                                                            
β. Κόστος Προεγχειρητικού έλεγχου ODC: Γενική Αίματος, INR, ΗΚΓ.          
γ. Βασικά αναλώσιμα υλικά και συνήθη φάρμακα για την πραγματοποίηση της επέμβασης και την ολοκλήρωση της νοσηλείας (όπως αυτά ορίζονται από την κλινική).                                                                                                            δ. Φ.Π.Α.</t>
  </si>
  <si>
    <r>
      <rPr>
        <b/>
        <sz val="12"/>
        <color theme="1"/>
        <rFont val="Trebuchet MS"/>
        <family val="2"/>
        <charset val="161"/>
      </rPr>
      <t xml:space="preserve">Ειδικά για τα ODC </t>
    </r>
    <r>
      <rPr>
        <sz val="12"/>
        <color theme="1"/>
        <rFont val="Trebuchet MS"/>
        <family val="2"/>
        <charset val="161"/>
      </rPr>
      <t>περιστατικά επιπλέον χρέωση 90€ για Καρδιολογική εξέταση, Κάλιο, Νάτριο, Ουρία, Κρεατινίνη, Α/Α Θώρακος F ή F &amp; P.</t>
    </r>
  </si>
  <si>
    <t>Ιστολογική: 75 € με Φ.Π.Α.
Ανοσοϊστοχημεία: 275 € με Φ.Π.Α.</t>
  </si>
  <si>
    <t xml:space="preserve">Οι τιμές των extra χρεώσεων επιβαρύνονται με Φ.Π.Α. </t>
  </si>
  <si>
    <t>ΤΙΜΟΚΑΤΑΛΟΓΟΣ ΓΥΝΑΙΚΟΛΟΓΙΚΩΝ ΕΠΕΜΒΑΣΕΩΝ</t>
  </si>
  <si>
    <t>ΜΕΓΙΣΤΗ ΔΙΑΡΚΕΙΑ Χ/ΓΕΙΟΥ (ώρες)</t>
  </si>
  <si>
    <r>
      <t xml:space="preserve">ΒΑ 
</t>
    </r>
    <r>
      <rPr>
        <b/>
        <i/>
        <sz val="10"/>
        <color theme="1"/>
        <rFont val="Trebuchet MS"/>
        <family val="2"/>
        <charset val="161"/>
      </rPr>
      <t>(Τιμοκατάλογος αναφοράς)</t>
    </r>
  </si>
  <si>
    <t>Ασφ/νος ΕΟΠΥΥ</t>
  </si>
  <si>
    <t xml:space="preserve">ΙΔΙΩΤΗΣ  </t>
  </si>
  <si>
    <t>ΠΡΟ ΦΠΑ</t>
  </si>
  <si>
    <t>ΜΕ ΦΠΑ</t>
  </si>
  <si>
    <t xml:space="preserve"> ΜΕ ΦΠΑ</t>
  </si>
  <si>
    <t xml:space="preserve"> ΜΕ ΦΠΑ </t>
  </si>
  <si>
    <t xml:space="preserve">Υστεροσκόπηση διαγνωστική </t>
  </si>
  <si>
    <t>ΥΛΙΚΑ</t>
  </si>
  <si>
    <t>Ασφ/νοι ΕΟΠΥΥ 60% Υλικών</t>
  </si>
  <si>
    <t>Αφαίρεση πολύποδος τραχήλου</t>
  </si>
  <si>
    <t>Διαγνωστική απόξεση</t>
  </si>
  <si>
    <t>Διαγνωστική λαπαροσκόπηση</t>
  </si>
  <si>
    <t>Διαγνωστική λαπαροσκόπηση + Υστεροσκόπηση</t>
  </si>
  <si>
    <t xml:space="preserve">Εκπυρήνιση ινομυώματος </t>
  </si>
  <si>
    <t>Εκτομή εξαρτήματος</t>
  </si>
  <si>
    <t>Γ05Χ</t>
  </si>
  <si>
    <t>Εξαίρεση Βαρθολίνειου</t>
  </si>
  <si>
    <t>Γ09Α</t>
  </si>
  <si>
    <t>Kαυτηρίαση κονδυλωμάτων με laser</t>
  </si>
  <si>
    <t>Κύστη ωοθήκης λαπαροσκοπικά</t>
  </si>
  <si>
    <t>Κωνοειδης εκτομή τραχήλου</t>
  </si>
  <si>
    <t>Μαρσιποποίηση Βαρθολίνειου</t>
  </si>
  <si>
    <t>Ολική κολπική υστερεκτομή</t>
  </si>
  <si>
    <t>Ολική υστερεκτομή με εξαρτήματα</t>
  </si>
  <si>
    <t>Πρόσθια-οπίσθια κολπορραφή</t>
  </si>
  <si>
    <t>Γ06Χ</t>
  </si>
  <si>
    <t>Υστεροσκόπηση διαγνωστική + απόξεση</t>
  </si>
  <si>
    <t>Γ10Α</t>
  </si>
  <si>
    <t>Υστεροσκόπηση επεμβατική</t>
  </si>
  <si>
    <t>Λαπαροσκοπική εξαίρεση ενδομητρίωσης</t>
  </si>
  <si>
    <t xml:space="preserve">Περιλαμβάνονται τα ελάχιστα απαραίτητα υλικά και φάρμακα για την πραγματοποίηση της επέμβασης και την ολοκλήρωση της νοσηλείας, όπως αυτά ορίζονται από την κλινική είναι τα εξής: LAPAROSCOPY SET,ANTIFOG KIT FOG-FREE, ΚΑΜΕΡΑΣ VIDEO ΚΑΛΥΜΜΑ TELESCOPIC, Σωλήνας CO2 με φίλτρο, 4ΧΚΑΛ.ΤΡΑΠ.ΕΡΓΑΣΙΑΣ 80Χ145CM 20PF, 2ΧSURGICAL GOWN XL, ΣΥΡΙΓΓΑ 50ML, ΠΡΟΕΚΤΑΣΗ PE 200 CM, CLIMADRAPE 230X140CM ΚΑΛ.ΧΕΙΡ. </t>
  </si>
  <si>
    <t>Eπιπλέον πακέτου ΒΑ</t>
  </si>
  <si>
    <r>
      <rPr>
        <b/>
        <sz val="12"/>
        <color theme="1"/>
        <rFont val="Trebuchet MS"/>
        <family val="2"/>
        <charset val="161"/>
      </rPr>
      <t xml:space="preserve">Ειδικά για τα ODC περιστατικά </t>
    </r>
    <r>
      <rPr>
        <sz val="12"/>
        <color theme="1"/>
        <rFont val="Trebuchet MS"/>
        <family val="2"/>
        <charset val="161"/>
      </rPr>
      <t>: χρέωση 90€ για  προεγχειρητικό έλεγχο : Γενική Αίματος, INR,ΗΚΓ, Καρδιολογική εξέταση, Κάλιο, Νάτριο, Ουρία, Κρεατινίνη, Α/Α Θώρακος F ή F &amp; P.</t>
    </r>
  </si>
  <si>
    <t>Σε περίπτωση πραγματοποίησης  πολλαπλών επεμβάσεων με κύρια επέμβαση την Λαπαροσκοπική εξαίρεση Ενδομητρίωσης η τιμολόγηση συμπληρώνεται αθροίζοντας το 50% της τιμής της 2ης σε βαρύτητα επέμβασης και το 30% της τιμής της 3ης σε βαρύτητα επέμβασης ΣΤΗΝ ΙΔΙΑ ΘΕΣΗ ΝΟΣΗΛΕΙΑΣ.</t>
  </si>
  <si>
    <t>ΤΙΜΟΚΑΤΑΛΟΓΟΣ ΕΠΕΜΒΑΤΙΚΗΣ ΚΑΡΔΙΟΛΟΓΙΑΣ</t>
  </si>
  <si>
    <t>ΠΡΑΞΗ</t>
  </si>
  <si>
    <t xml:space="preserve">ΜΕΓΙΣΤΗ ΔΙΑΡΚΕΙΑ Χ/ΓΕΙΟΥ (ώρες) </t>
  </si>
  <si>
    <t>ΙΔΙΩΤΗΣ
ΒΑ3</t>
  </si>
  <si>
    <t>ΥΛΙΚΑ ΙΔΙΩΤΗ</t>
  </si>
  <si>
    <t>ΕΟΠΥΥ 
ΒΑ3</t>
  </si>
  <si>
    <t>ΣΧΟΛΙΑ</t>
  </si>
  <si>
    <t>ΙΔΙΩΤΗΣ
2026</t>
  </si>
  <si>
    <t xml:space="preserve">ΕΟΠΥΥ 
2026 </t>
  </si>
  <si>
    <t>ΣΤΕΦΑΝΙΟΓΡΑΦΙΑ</t>
  </si>
  <si>
    <t>Κ32Χ</t>
  </si>
  <si>
    <t>περιλαμβάνει</t>
  </si>
  <si>
    <t>ΑΓΓΕΙΟΠΛΑΣΤΙΚΗ ΣΤΕΦΑΝΙΑΙΩΝ ΠΡΟΓΡΑΜΜΑΤΙΣΜΕΝΗ (ΠΑΡΑΜΟΝΗ ΜΑΦ Η ΠΡΩΤΗ ΗΜΕΡΑ)</t>
  </si>
  <si>
    <t>Κ15Χ</t>
  </si>
  <si>
    <t>ΣΤΕΦΑΝΙΟΓΡΑΦΙΑ ΜΕ ΧΡΗΣΗ FFP</t>
  </si>
  <si>
    <t xml:space="preserve">Π.Δ  ΙΑΤΡ.ΠΡΑΞΗ Ι207037.3   </t>
  </si>
  <si>
    <t>ΑΓΓΕΙΟΠΛΑΣΤΙΚΕΣ ΜΕ ΧΡΗΣΗ FFP</t>
  </si>
  <si>
    <t>περιλαμβάνει 1 ΣΤΕΝΤ</t>
  </si>
  <si>
    <t>ΠΕΡΑ ΤΩΝ 1 ΣΤΕΝΤ</t>
  </si>
  <si>
    <t>K56Χ</t>
  </si>
  <si>
    <t xml:space="preserve">ΑΠΟΦΑΣΗ ΚΕΣΥ </t>
  </si>
  <si>
    <r>
      <t xml:space="preserve">TAVI </t>
    </r>
    <r>
      <rPr>
        <b/>
        <sz val="12"/>
        <color rgb="FFFF0000"/>
        <rFont val="Trebuchet MS"/>
        <family val="2"/>
        <charset val="161"/>
      </rPr>
      <t>ME ΥΛΙΚΑ EDWARDS</t>
    </r>
  </si>
  <si>
    <r>
      <t xml:space="preserve">TAVI ΜΕ ΒΑΛΒΙΔΑ
</t>
    </r>
    <r>
      <rPr>
        <b/>
        <sz val="12"/>
        <color rgb="FFFF0000"/>
        <rFont val="Trebuchet MS"/>
        <family val="2"/>
        <charset val="161"/>
      </rPr>
      <t>Evolut FX 26/29/34</t>
    </r>
  </si>
  <si>
    <t>Διακαθετηριακή Αορτική Βαλβίδα Evolut FX 26/29/34</t>
  </si>
  <si>
    <r>
      <t xml:space="preserve">TAVI ΜΕ ΒΑΛΒΙΔΑ
</t>
    </r>
    <r>
      <rPr>
        <b/>
        <sz val="12"/>
        <color rgb="FFFF0000"/>
        <rFont val="Trebuchet MS"/>
        <family val="2"/>
        <charset val="161"/>
      </rPr>
      <t>Evolut FX Plus</t>
    </r>
  </si>
  <si>
    <t>Διακαθετηριακή Αορτική Βαλβίδα Evolut FX Plus</t>
  </si>
  <si>
    <t>ΣΥΓΚΛΕΙΣΗ ΜΕΣΟΚΟΛΠΙΚΟΥ ΕΛΛΕΙΜΜΑΤΟΣ (ASD)</t>
  </si>
  <si>
    <t>Κ61Α</t>
  </si>
  <si>
    <r>
      <t>ΠΕΡΙΛΑΜΒΑΝΕΙ:       ΥΛΙΚΑ  ΤΕΛΙΚΗΣ ΑΞΙΑΣ ΜΕ ΦΠΑ 24%  - 14.500€,    ΔΙΟΙΣΟΦΑΓΕΙΟ ΥΠΕΡΗΧΟ ,</t>
    </r>
    <r>
      <rPr>
        <b/>
        <sz val="11"/>
        <color rgb="FFFF0000"/>
        <rFont val="Trebuchet MS"/>
        <family val="2"/>
        <charset val="161"/>
      </rPr>
      <t xml:space="preserve"> ΕΞΤΡΑ ΙΑΤΡΙΚΕΣ ΑΜΟΙΒΕΣ
-ΥΛΙΚΑ ΑΝΩ ΤΩΝ 14.500€</t>
    </r>
  </si>
  <si>
    <t xml:space="preserve">μία ημέρα ΜΑΠ-Κατόπιν βάσει διαθεσιμότητας σε ΒΑ3 ή ΒΑ </t>
  </si>
  <si>
    <t>MITRACLIP / TRICLIP</t>
  </si>
  <si>
    <t>K59A</t>
  </si>
  <si>
    <t xml:space="preserve">ΑΠΟΦΑΣΗ ΑΥΣ </t>
  </si>
  <si>
    <t>ΙΔΙΩΤΗΣ
ΒΑ</t>
  </si>
  <si>
    <t>ΕΟΠΥΥ 
ΒΑ</t>
  </si>
  <si>
    <t xml:space="preserve">Διαθερμική σύγκλειση ανοικτού ωοειδούς τρήματος (PFO) </t>
  </si>
  <si>
    <t xml:space="preserve">Κ61Α </t>
  </si>
  <si>
    <t>ΙΑΤΡΙΚΕΣ ΑΜΟΙΒΕΣ</t>
  </si>
  <si>
    <t xml:space="preserve">ΑΠΑΡΑΙΤΗΤΗ ΑΠΟΦΑΣΗ ΑΥΣ ΥΛΙΚΑ LIFETECH </t>
  </si>
  <si>
    <t xml:space="preserve">ΑΠΑΡΑΙΤΗΤΗ ΑΠΟΦΑΣΗ ΑΥΣ ΥΛΙΚΑ Abbott </t>
  </si>
  <si>
    <r>
      <t>Για ηλεκτρική ανάταξη κολπικής μαρμαρυγής και διοισοφάγειο u/s καρδιάς έγχρωμο triplex, θα ισχύουν ως τιμή πακέτου (</t>
    </r>
    <r>
      <rPr>
        <sz val="11"/>
        <rFont val="Trebuchet MS"/>
        <family val="2"/>
        <charset val="161"/>
      </rPr>
      <t>500</t>
    </r>
    <r>
      <rPr>
        <sz val="11"/>
        <color theme="1"/>
        <rFont val="Trebuchet MS"/>
        <family val="2"/>
        <charset val="161"/>
      </rPr>
      <t>€ συμπ.ΦΠΑ).</t>
    </r>
  </si>
  <si>
    <t xml:space="preserve">Eπιπλέον πακέτου ΒΑ3 ανά ημέρα νοσηλείας με ΦΠΑ </t>
  </si>
  <si>
    <t>Κόστος της ώρας χειρουργείου, πέραν της οριζόμενης στη σχετική στήλη, ορίζεται στα 230€ με Φ.Π.Α.</t>
  </si>
  <si>
    <r>
      <rPr>
        <u/>
        <sz val="12"/>
        <color theme="1"/>
        <rFont val="Trebuchet MS"/>
        <family val="2"/>
        <charset val="161"/>
      </rPr>
      <t>ΕΙΔΙΚΑ ΥΛΙΚΑ</t>
    </r>
    <r>
      <rPr>
        <sz val="12"/>
        <color theme="1"/>
        <rFont val="Trebuchet MS"/>
        <family val="2"/>
        <charset val="161"/>
      </rPr>
      <t>: προσδιορίζεται το κόστος οποιουδήποτε υλικού ή φαρμάκου πέραν των απαραίτητων  αναλώσιμων, υγειονομικών υλικών και φαρμάκων αναισθησίας αντίστοιχα. Ο προσδιορισμός γίνεται κατά περίπτωση και ο θεράπων ιατρός ενημερώνεται σχετικά από στελέχη του Τομέα Κίνησης και υποβολών.</t>
    </r>
    <r>
      <rPr>
        <i/>
        <sz val="12"/>
        <color theme="1"/>
        <rFont val="Trebuchet MS"/>
        <family val="2"/>
        <charset val="161"/>
      </rPr>
      <t xml:space="preserve"> Τα παραπάνω πακέτα τιμών περιλαμβάνουν κόστη σύμφωνα με την ιστορικότητα των επεμβάσεων εξασφαλίζοντας έτσι τη μικρότερη δυνατή περαιτέρω επιβάρυνση του ασθενή. </t>
    </r>
  </si>
  <si>
    <t>Οι προσφερόμενες τιμές περιλαμβάνουν:                                                                                    
α. Κόστος Προεγχειρητικού έλεγχου : Γενική Αίματος, INR, ΗΚΓ, Καρδιολογική εξέταση, triplex καρδιάς Κάλιο, Νάτριο, Ουρία, Κρεατινίνη, Α/Α Θώρακος F ή F &amp; P.                                                            
β. Βασικά αναλώσιμα υλικά και συνήθη φάρμακα για την πραγματοποίηση της επέμβασης και την ολοκλήρωση της νοσηλείας (όπως αυτά ορίζονται από την κλινική).                                                                                                         
γ. Φ.Π.Α.</t>
  </si>
  <si>
    <t>ΤΙΜΟΚΑΤΑΛΟΓΟΣ ΕΠΕΜΒΑΤΙΚΗΣ ΑΚΤΙΝΟΛΟΓΙΑΣ</t>
  </si>
  <si>
    <r>
      <rPr>
        <b/>
        <sz val="10"/>
        <color rgb="FFFF0000"/>
        <rFont val="Trebuchet MS"/>
        <family val="2"/>
        <charset val="161"/>
      </rPr>
      <t>ΚΕΝ</t>
    </r>
    <r>
      <rPr>
        <b/>
        <sz val="10"/>
        <color theme="1"/>
        <rFont val="Trebuchet MS"/>
        <family val="2"/>
        <charset val="161"/>
      </rPr>
      <t>/</t>
    </r>
    <r>
      <rPr>
        <b/>
        <sz val="10"/>
        <color theme="5" tint="-0.499984740745262"/>
        <rFont val="Trebuchet MS"/>
        <family val="2"/>
        <charset val="161"/>
      </rPr>
      <t>Π.Δ.</t>
    </r>
  </si>
  <si>
    <r>
      <t xml:space="preserve">ΒΑ              </t>
    </r>
    <r>
      <rPr>
        <b/>
        <i/>
        <sz val="10"/>
        <color theme="1"/>
        <rFont val="Trebuchet MS"/>
        <family val="2"/>
        <charset val="161"/>
      </rPr>
      <t>(Τιμοκατάλογος αναφοράς)</t>
    </r>
  </si>
  <si>
    <t>ICD10</t>
  </si>
  <si>
    <r>
      <rPr>
        <b/>
        <sz val="10"/>
        <color theme="7" tint="-0.499984740745262"/>
        <rFont val="Trebuchet MS"/>
        <family val="2"/>
        <charset val="161"/>
      </rPr>
      <t>ΜΑΠ</t>
    </r>
    <r>
      <rPr>
        <b/>
        <sz val="10"/>
        <color theme="1"/>
        <rFont val="Trebuchet MS"/>
        <family val="2"/>
        <charset val="161"/>
      </rPr>
      <t>/</t>
    </r>
    <r>
      <rPr>
        <b/>
        <sz val="10"/>
        <color rgb="FFFF0000"/>
        <rFont val="Trebuchet MS"/>
        <family val="2"/>
        <charset val="161"/>
      </rPr>
      <t>ΜΕΘ</t>
    </r>
  </si>
  <si>
    <t>ΜΕ ΦΠΑ 24%</t>
  </si>
  <si>
    <t>Α. Αρτηριακές επεμβάσεις</t>
  </si>
  <si>
    <t>1.Περιφερική αρτηριοπάθεια</t>
  </si>
  <si>
    <t>I67.9 και I66.9</t>
  </si>
  <si>
    <t>Ειδικά Υλικά</t>
  </si>
  <si>
    <t>I73.9 ή I73.8</t>
  </si>
  <si>
    <t>Αγγειοπλαστική και στεντ σπονδυλικών αρτηριών</t>
  </si>
  <si>
    <t>2.Αποφρακτική νόσος σπλαχνικών αρτηριών</t>
  </si>
  <si>
    <t>I61.2 (για αιμορραγίες)</t>
  </si>
  <si>
    <t>3. Ανευρυσματική νόσος</t>
  </si>
  <si>
    <t>Ενδαγγειακή αποκατάσταση υπονεφρικών ανευρυσμάτων (κοιλιακά ανευρύσματα) [EVAR].</t>
  </si>
  <si>
    <r>
      <t xml:space="preserve">Κ68Α </t>
    </r>
    <r>
      <rPr>
        <b/>
        <i/>
        <sz val="8"/>
        <color rgb="FFFF0000"/>
        <rFont val="Trebuchet MS"/>
        <family val="2"/>
        <charset val="161"/>
      </rPr>
      <t>(ΜΔΝ=5)</t>
    </r>
  </si>
  <si>
    <t xml:space="preserve">100% κόστους κλάδου μοσχ/τος&gt; 3 κλάδων
</t>
  </si>
  <si>
    <t>Περιλαμβάνει</t>
  </si>
  <si>
    <t>Ποσότητα</t>
  </si>
  <si>
    <t>ΚΥΡΙΟ ΣΩΜΑ ΜΟΣΧΕΥΜΑΤΟΣ 28Χ14Χ103</t>
  </si>
  <si>
    <t>ΕΤΕΡΟΠΛΕΥΡΟ ΣΚΕΛΟΣ - ΛΑΓΟΝΙΑ ΠΡΟΕΚΤΑΣΗ ΜΟΣΧΕΥΜΑΤΟΣ</t>
  </si>
  <si>
    <t>ΜΠΑΛΟΝΙ MΟΡΦΟΠΟΙΗΣΗΣ ΜΟΣΧΕΥΜΑΤΟΣ</t>
  </si>
  <si>
    <t>ΟΔΗΓΟ ΣΥΡΜΑ LUNDERQUIST ΚΥΡΤΟ 260CM</t>
  </si>
  <si>
    <t>ΟΔΗΓΟ ΣΥΡΜΑ LUNDERQUIST ΔΙΠΛΗΣ ΚΥΡΤΟΤΗΤΑΣ 300CM</t>
  </si>
  <si>
    <t>ΣΥΣΤΗΜΑ ΑΙΜΟΣΤΑΣΗΣ ΜΕ ΡΑΜΜΑ &amp; ΒΕΛΟΝΕΣ</t>
  </si>
  <si>
    <t>ΘΗΚΑΡΙ ΕΙΣΑΓΩΓΗΣ SENTRANT 16F, 28CM</t>
  </si>
  <si>
    <t>Σε περίπτωση χρήσης επιπλέον υλικού : ΘΗΚΑΡΙ ΕΙΣΑΓΩΓΗΣ SENTRANT 16F, 28CM   χρέωση 185€ προ ΦΠΑ</t>
  </si>
  <si>
    <t xml:space="preserve">Ελάχιστα επεμβατική θεραπεία επιπλοκών της ενδοαγγειακής αποκατάστασης όπως ενδοδιαφυγών τύπου 2 [30% των ασθενών με EVAR]-]- Εμβολισμός ενδοδιαφυγής μετά από EVAR </t>
  </si>
  <si>
    <t>4.Αγγειακό τραύμα-Αιμορραγίες</t>
  </si>
  <si>
    <t>Εμβολισμός αρτηριών συμπαγών οργάνων [ήπαρ, σπλήνας, νεφρός] σε τραυματική αιμορραγία</t>
  </si>
  <si>
    <t>5. Αγγειακές δυσπλασίες</t>
  </si>
  <si>
    <t>Εμβολισμός σε αγγειακές δυσπλασίες υψηλής ροής</t>
  </si>
  <si>
    <t>Β. Φλεβικές επεμβάσεις</t>
  </si>
  <si>
    <t>1.Θρομβοεμβολική νόσος</t>
  </si>
  <si>
    <t>Διάγνωση, εισαγωγή φίλτρων κάτω κοίλης φλέβας, αγγειογραφία πνευμονικών αρτηριών, πνευμονική θρομβόλυση και θρομβεκτομή</t>
  </si>
  <si>
    <t>Διάγνωση, εισαγωγή αγγειογραφία πνευμονικών αρτηριών, πνευμονική θρομβόλυση και θρομβεκτομή</t>
  </si>
  <si>
    <t>Θεραπεία φλεβικών κιρσών με laser ήραδιοσυχνότητες (RFA).</t>
  </si>
  <si>
    <t>ΚΕΝ Κ20Α (2πλο ΚΕΝ αν είναι άμφω)</t>
  </si>
  <si>
    <t>2. Παθολογία άνω και κάτω κοίλης φλέβας</t>
  </si>
  <si>
    <t>3.Παθολογία ηπατικών φλεβών: αντιμετώπιση συνδρόμου Budd Chiari.</t>
  </si>
  <si>
    <t>Διασφαγιτιδική διηπατική πυλαιοσυστηματική αναστόμωση [tranjugular intrahepatic portosystemic shunt-TIPS].</t>
  </si>
  <si>
    <t>I73.8</t>
  </si>
  <si>
    <t>4. Παθολογία πυλαίας φλέβας (συμπ/νης
πυλαίας υπέρτασης: αντιμετώπιση κιρσορραγίας, πυλαίας γαστροπάθειας, ανθεκτικού ασκίτη).</t>
  </si>
  <si>
    <t>Διασφαγιτιδική ενδοηπατική πυλαιοσυστηματική αναστόμωση (TIPS)</t>
  </si>
  <si>
    <t>5.Τεχνικές τοποθέτησης κεντρικών φλεβικών καθετήρων (για χημειοθεραπεία, παρεντερική σίτιση, αντιβιοτική αγωγή κ.α.)</t>
  </si>
  <si>
    <t>6. Επεμβάσεις σε αγγειακές προσπελάσεις αιμοκάθαρσης (φίστουλες και μοσχεύματα αιμοκάθαρσης).</t>
  </si>
  <si>
    <t>8. Θεραπεία κιρσοκήλης με εμβολισμό γοναδικών φλεβών.</t>
  </si>
  <si>
    <t>9. Θεραπεία συνδρόμου πυελικής συμφόρησης σε γυναίκες. Εμβολισμός ωοθηκικών και έσω λαγονίων φλεβών</t>
  </si>
  <si>
    <t>10. Επεμβάσεις για την υπερτροφία του μελλοντικού ηπατικού υπολείμματος μετά ηπατεκτομή.</t>
  </si>
  <si>
    <t>Προ-εγχειρητικός εμβολισμός πυλαίας φλέβας</t>
  </si>
  <si>
    <r>
      <rPr>
        <b/>
        <sz val="10"/>
        <color theme="7" tint="-0.499984740745262"/>
        <rFont val="Trebuchet MS"/>
        <family val="2"/>
        <charset val="161"/>
      </rPr>
      <t>Π.Δ.</t>
    </r>
    <r>
      <rPr>
        <sz val="10"/>
        <color theme="1"/>
        <rFont val="Trebuchet MS"/>
        <family val="2"/>
        <charset val="161"/>
      </rPr>
      <t>(</t>
    </r>
    <r>
      <rPr>
        <i/>
        <sz val="8"/>
        <color theme="1"/>
        <rFont val="Trebuchet MS"/>
        <family val="2"/>
        <charset val="161"/>
      </rPr>
      <t>ή ΚΕΝ Επέμβασης)</t>
    </r>
  </si>
  <si>
    <t xml:space="preserve">Προεγχειρητικός εμβολισμός πυλαίας φλέβας και ηπατικών φλεβών [total hepatic venous deprivation]. </t>
  </si>
  <si>
    <t>Γ. Μη αγγειακή Επεμβατική Ακτινολογία</t>
  </si>
  <si>
    <t>1. Απεικονιστικά καθοδηγούμενες επεμβάσεις σε συμπαγή όργανα.</t>
  </si>
  <si>
    <t>Βιοψία θυρεοειδούς και μαζών τραχηλικής χώρας υπό υπερηχογραφική [ΥΗ] καθοδήγηση.</t>
  </si>
  <si>
    <t>×</t>
  </si>
  <si>
    <t>Βιοψία πνευμονικών βλαβών με καθοδήγηση με Αξονικό Τομογράφο [ΑΤ].</t>
  </si>
  <si>
    <t>Βιοψία ηπατικών βλαβών υπό ΑΤ η ΥΗ.</t>
  </si>
  <si>
    <t xml:space="preserve">Βιοψία νεφρών </t>
  </si>
  <si>
    <t>Βιοψία άλλων οργάνων και μαζών (πχ οπισθοπεριτοναικών λεμφαδένων) υπο ΑΤ ή ΥΗ.</t>
  </si>
  <si>
    <t>2.Απεικονιστικά καθοδηγούμενες παροχετεύσεις συλλογών και αποστημάτων</t>
  </si>
  <si>
    <t>Παροχέτευση πλευριτικών και ασκιτικών συλλογών υπό ΑΤ ή ΥΗ.</t>
  </si>
  <si>
    <t>Παροχετεύσεις εμπυημάτων ή ενδοκοιλιακών αποστημάτων.</t>
  </si>
  <si>
    <t>Προσπέλαση γαστρεντερικού συστήματος - διαδερμική γαστροστομία</t>
  </si>
  <si>
    <r>
      <t xml:space="preserve">Π27Χ </t>
    </r>
    <r>
      <rPr>
        <b/>
        <i/>
        <sz val="8"/>
        <color rgb="FFFF0000"/>
        <rFont val="Trebuchet MS"/>
        <family val="2"/>
        <charset val="161"/>
      </rPr>
      <t>(ΜΔΝ=5)</t>
    </r>
    <r>
      <rPr>
        <b/>
        <sz val="10"/>
        <color rgb="FFFF0000"/>
        <rFont val="Trebuchet MS"/>
        <family val="2"/>
        <charset val="161"/>
      </rPr>
      <t xml:space="preserve"> </t>
    </r>
  </si>
  <si>
    <t xml:space="preserve">Υλικά έως 180€ </t>
  </si>
  <si>
    <t>Προσπέλαση γαστρεντερικού συστήματος - διαδερμική νηστιδοστομία</t>
  </si>
  <si>
    <t xml:space="preserve">Υλικά έως 130€ </t>
  </si>
  <si>
    <t>Επεμβάσεις στο χοληφόρο σύστημα - τοποθέτηση παροχετευτικών καθετήρων</t>
  </si>
  <si>
    <r>
      <t xml:space="preserve">Η41Χ </t>
    </r>
    <r>
      <rPr>
        <b/>
        <i/>
        <sz val="8"/>
        <color rgb="FFFF0000"/>
        <rFont val="Trebuchet MS"/>
        <family val="2"/>
        <charset val="161"/>
      </rPr>
      <t>(ΜΔΝ=4)</t>
    </r>
    <r>
      <rPr>
        <b/>
        <sz val="10"/>
        <color rgb="FFFF0000"/>
        <rFont val="Trebuchet MS"/>
        <family val="2"/>
        <charset val="161"/>
      </rPr>
      <t xml:space="preserve"> </t>
    </r>
  </si>
  <si>
    <t xml:space="preserve">Υλικά έως 300€  </t>
  </si>
  <si>
    <t>Επεμβάσεις στο χοληφόρο σύστημα - τοποθέτηση μεταλλικών ή πλαστικών στεντ</t>
  </si>
  <si>
    <t xml:space="preserve">Υλικά έως 600€  </t>
  </si>
  <si>
    <t>Επεμβάσεις στο χοληφόρο σύστημα - διαδερμικές χολοκυστοστομίες</t>
  </si>
  <si>
    <t xml:space="preserve">Υλικά έως 200€ </t>
  </si>
  <si>
    <t>Επεμβάσεις ουρογεννητικού συστήματος - διαδερμική νεφροστομία</t>
  </si>
  <si>
    <r>
      <t xml:space="preserve">Υ09Χ </t>
    </r>
    <r>
      <rPr>
        <b/>
        <i/>
        <sz val="8"/>
        <color rgb="FFFF0000"/>
        <rFont val="Trebuchet MS"/>
        <family val="2"/>
        <charset val="161"/>
      </rPr>
      <t xml:space="preserve">(ΜΔΝ=2) </t>
    </r>
  </si>
  <si>
    <t xml:space="preserve">Υλικά έως 250€ </t>
  </si>
  <si>
    <t xml:space="preserve">Επεμβάσεις ουρογεννητικού συστήματος - διαδερμική τοποθέτηση ενδοπροσθέσεων ουρητήρα </t>
  </si>
  <si>
    <t xml:space="preserve">Υλικά έως 500€ </t>
  </si>
  <si>
    <t xml:space="preserve">Επεμβάσεις ουρογεννητικού συστήματος - διαστολές ουρητηρικών στενώσεων  </t>
  </si>
  <si>
    <t xml:space="preserve">Υλικά </t>
  </si>
  <si>
    <t>Δ. Επεμβατική Ογκολογία - Διαδερμικές θεραπείες</t>
  </si>
  <si>
    <t>1. Διαδερμικές θεραπείες σε συμπαγή όργανα</t>
  </si>
  <si>
    <t>Θερμοκαυτηρίαση Ηπατικού καρκινώματος, χολαγγειοκαρκινώματος με βελόνες ραδιοσυχνοτήτων ή μικροκυμάτων [radiofrequency ablation-RFA, microwave ablation-MWA]</t>
  </si>
  <si>
    <t>Κρυοθεραπεία των ανωτέρω βλαβών. [Cryoablation]</t>
  </si>
  <si>
    <t>Διαδερμική θεραπεία σε δευτεροπαθείς βλάβες του ήπατος.</t>
  </si>
  <si>
    <t>Διαδερμική κατάλυση σε πρωτοπαθή νεοπλάσματα νεφρών και επινεφριδίων</t>
  </si>
  <si>
    <t>2. Χημειοεμβολισμός πρωτοπαθούς ηπατικού καρκίνου</t>
  </si>
  <si>
    <t>Κλασσικός με λιπιοδόλη και δοξορουμπικίνη.</t>
  </si>
  <si>
    <t>Υλικά και φάρμακα έκχυσης</t>
  </si>
  <si>
    <t>Με ειδικά σφαιρίδια [Drug eluding beads-DEB-TACE]</t>
  </si>
  <si>
    <t>Υλικά και σφαιρίδια</t>
  </si>
  <si>
    <t xml:space="preserve">3. Χημειοεμβολισμός μεταστάσεων ήπατος </t>
  </si>
  <si>
    <t>Με Σφαιρίδια και ιρινοτεκάνη</t>
  </si>
  <si>
    <t>Υλικά, φάρμακα έκχυσης και σφαιρίδια</t>
  </si>
  <si>
    <t>4. Εμβολισμός Αγγειομυολιπωμάτων νεφρού</t>
  </si>
  <si>
    <r>
      <t xml:space="preserve">***Θερμοκαυτηριασμός με ραδιοσυχνότητες (RF ablation) όζων θυρεοειδούς»:
Τιμή με ΦΠΑ: </t>
    </r>
    <r>
      <rPr>
        <b/>
        <sz val="12"/>
        <color theme="1"/>
        <rFont val="Aptos Narrow"/>
        <family val="2"/>
        <charset val="161"/>
        <scheme val="minor"/>
      </rPr>
      <t>1.730€</t>
    </r>
    <r>
      <rPr>
        <sz val="12"/>
        <color theme="1"/>
        <rFont val="Aptos Narrow"/>
        <family val="2"/>
        <charset val="161"/>
        <scheme val="minor"/>
      </rPr>
      <t xml:space="preserve"> 
Η παραπάνω τιμή ισχύει με χρήση υλικού από την εταιρία SYNERGY.</t>
    </r>
  </si>
  <si>
    <t xml:space="preserve">Eπιπλέον πακέτου ανά ημέρα νοσηλείας με Φ.Π.Α. </t>
  </si>
  <si>
    <r>
      <rPr>
        <u/>
        <sz val="12"/>
        <color theme="1"/>
        <rFont val="Trebuchet MS"/>
        <family val="2"/>
        <charset val="161"/>
      </rPr>
      <t>ΕΙΔΙΚΑ ΥΛΙΚΑ</t>
    </r>
    <r>
      <rPr>
        <sz val="12"/>
        <color theme="1"/>
        <rFont val="Trebuchet MS"/>
        <family val="2"/>
        <charset val="161"/>
      </rPr>
      <t>: Προσδιορίζεται το κόστος οποιουδήποτε υλικού ή φαρμάκου πέραν των απαραίτητων  αναλώσιμων, υγειονομικών υλικών και φαρμάκων αναισθησίας αντίστοιχα . Ο προσδιορισμός γίνεται κατά περίπτωση και ο θεράπων ιατρός ενημερώνεται σχετικά από στελέχη του Τομέα Κίνησης και υποβολών.</t>
    </r>
    <r>
      <rPr>
        <i/>
        <sz val="12"/>
        <color theme="1"/>
        <rFont val="Trebuchet MS"/>
        <family val="2"/>
        <charset val="161"/>
      </rPr>
      <t xml:space="preserve"> Τα παραπάνω πακέτα τιμών περιλαμβάνουν κόστη σύμφωνα με την ιστορικότητα των επεμβάσεων εξασφαλίζοντας έτσι τη μικρότερη δυνατή περαιτέρω επιβάρυνση του ασθενή. </t>
    </r>
  </si>
  <si>
    <t>Οι προσφερόμενες τιμές περιλαμβάνουν:                                                                                    
α. Κόστος Προεγχειρητικού έλεγχου (εκτός ODC): Γενική Αίματος, INR, ΗΚΓ, Καρδιολογική εξέταση, Κάλιο, Νάτριο, Ουρία, Κρεατινίνη, Α/Α Θώρακος F ή F &amp; P.                                                            
β. Κόστος Προεγχειρητικού έλεγχου ODC: Γενική Αίματος, INR, ΗΚΓ.          
γ. Βασικά αναλώσιμα Υλικά και συνήθη φάρμακα για την πραγματοποίηση της επέμβασης και την ολοκλήρωση της νοσηλείας (όπως αυτά ορίζονται από την κλινική).
δ. Φ.Π.Α.</t>
  </si>
  <si>
    <t>ΤΙΜΟΚΑΤΑΛΟΓΟΣ ΗΛΕΚΤΡΟΦΥΣΙΟΛΟΓΙΑΣ</t>
  </si>
  <si>
    <t>ΠΕΡΙΓΡΑΦΗ</t>
  </si>
  <si>
    <t>HM. ΝΟΣ</t>
  </si>
  <si>
    <t>ΚΟΣΤΟΣ ΥΛΙΚΟΥ ΧΩΡΙΣ ΦΠΑ</t>
  </si>
  <si>
    <t xml:space="preserve">ΕΟΠΠΥ </t>
  </si>
  <si>
    <t>ΤΕΛΙΚΟΣ ΕΟΠΥΥ ΜΕ ΦΠΑ</t>
  </si>
  <si>
    <t>ΥΛΙΚΑ MEDRONIC</t>
  </si>
  <si>
    <t>ΗΛΕΚΤΡΟΦΥΣΙΟΛΟΓΙΚΗ ΜΕΛΕΤΗ</t>
  </si>
  <si>
    <t>Κ48Α</t>
  </si>
  <si>
    <t>ΚΑΤΑΛΥΣΗ ΤΑΧΥΚΑΡΔΙΑΣ</t>
  </si>
  <si>
    <t>Κ49Χ</t>
  </si>
  <si>
    <t>...plus κολπικη διαφραγματοστομια</t>
  </si>
  <si>
    <t>Κ49Μγ</t>
  </si>
  <si>
    <t>...plus συστημα χαρτογραφησης χωρις κολπικη διαφραγματοστομια</t>
  </si>
  <si>
    <t>Κ49Μβ</t>
  </si>
  <si>
    <t>...plus συστημα χαρτογραφησης και με κολπικη διαφραγματοστομια</t>
  </si>
  <si>
    <t>Κ49Μα</t>
  </si>
  <si>
    <t>ΤΑ ΑΝΩΤΕΡΩ ΜΕ ΚΑΘΕΤΗΡΕΣ ΚΡΥΟΚΑΤΑΛΥΣΗΣ</t>
  </si>
  <si>
    <t>Εμφύτευση (απλού) απινιδωτή VR MRI συμβατου</t>
  </si>
  <si>
    <t>Κ01Χ</t>
  </si>
  <si>
    <t>DVME</t>
  </si>
  <si>
    <t>Αντικατάσταση (απλού) απινιδωτή VR MRI συμβατου</t>
  </si>
  <si>
    <t>Εμφύτευση (απλού) απινιδωτή DR MRI συμβατου</t>
  </si>
  <si>
    <t>DDME</t>
  </si>
  <si>
    <t>Αντικατάσταση (απλού) απινιδωτή DR MRI συμβατου</t>
  </si>
  <si>
    <r>
      <t xml:space="preserve">Εμφύτευση </t>
    </r>
    <r>
      <rPr>
        <b/>
        <sz val="12"/>
        <color indexed="8"/>
        <rFont val="Trebuchet MS"/>
        <family val="2"/>
        <charset val="161"/>
      </rPr>
      <t xml:space="preserve">αμφικοιλιακού </t>
    </r>
    <r>
      <rPr>
        <b/>
        <sz val="12"/>
        <color theme="1"/>
        <rFont val="Trebuchet MS"/>
        <family val="2"/>
        <charset val="161"/>
      </rPr>
      <t>απινιδωτή 2 πολων</t>
    </r>
  </si>
  <si>
    <t>Κ52Χ</t>
  </si>
  <si>
    <t>DTMC</t>
  </si>
  <si>
    <r>
      <t xml:space="preserve">Εμφύτευση </t>
    </r>
    <r>
      <rPr>
        <b/>
        <sz val="12"/>
        <color indexed="8"/>
        <rFont val="Trebuchet MS"/>
        <family val="2"/>
        <charset val="161"/>
      </rPr>
      <t xml:space="preserve">αμφικοιλιακού </t>
    </r>
    <r>
      <rPr>
        <b/>
        <sz val="12"/>
        <color theme="1"/>
        <rFont val="Trebuchet MS"/>
        <family val="2"/>
        <charset val="161"/>
      </rPr>
      <t>απινιδωτή 4 πολων</t>
    </r>
  </si>
  <si>
    <r>
      <t xml:space="preserve">Αντικατάσταση </t>
    </r>
    <r>
      <rPr>
        <b/>
        <sz val="12"/>
        <color indexed="8"/>
        <rFont val="Trebuchet MS"/>
        <family val="2"/>
        <charset val="161"/>
      </rPr>
      <t>αμφικοιλιακού</t>
    </r>
    <r>
      <rPr>
        <b/>
        <sz val="12"/>
        <color theme="1"/>
        <rFont val="Trebuchet MS"/>
        <family val="2"/>
        <charset val="161"/>
      </rPr>
      <t xml:space="preserve"> απινιδωτή</t>
    </r>
  </si>
  <si>
    <t>Κ53Χ</t>
  </si>
  <si>
    <t>Εμφύτευση Βηματοδότη VVIR μιας κοιλοτητας MRI συμβατου</t>
  </si>
  <si>
    <t>κ12Χ</t>
  </si>
  <si>
    <t>G SERIES MRI</t>
  </si>
  <si>
    <t>Αντικατάσταση Βηματόδοτη VVIR MRI μιας κοιλοτητας</t>
  </si>
  <si>
    <t>Κ17Χ</t>
  </si>
  <si>
    <t>Εμφύτευση Βηματοδότη DDDR MRI δυο κοιλοτητων</t>
  </si>
  <si>
    <t>Κ12Χ</t>
  </si>
  <si>
    <t>G/Q</t>
  </si>
  <si>
    <t>Αντικατάσταση Βηματόδοτη DDDR MRI δυο κοιλοτητων</t>
  </si>
  <si>
    <t>Εμφυτευση αμφικοιλιακου βηματοδοτη  2 πολων</t>
  </si>
  <si>
    <t>K54χ</t>
  </si>
  <si>
    <t>W</t>
  </si>
  <si>
    <t>Εμφυτευση αμφικοιλιακου βηματοδοτη  4 πολων</t>
  </si>
  <si>
    <t>Αντικατασταση αμφικοιλιακου βηματοδοτη 2 πολων</t>
  </si>
  <si>
    <t>Κ55Χ</t>
  </si>
  <si>
    <t>Αντικατασταση αμφικοιλιακου βηματοδοτη 4 πολων</t>
  </si>
  <si>
    <t>OI AΝΩΤΕΡΩ ΤΙΜΕΣ ΠΕΡΙΛΑΜΒΑΝΟΥΝ ΦΠΑ</t>
  </si>
  <si>
    <t>ΣΕ ΔΙΚΛΙΝΟ ΔΩΜΑΤΙΟ</t>
  </si>
  <si>
    <t>ΤΙΜΟΚΑΤΑΛΟΓΟΣ ΕΠΕΜΒΑΣΕΩΝ ΓΙΑ ΠΟΝΟ</t>
  </si>
  <si>
    <t>ΑΠΟΦΑΣΗ ΚΕΣΥ</t>
  </si>
  <si>
    <t>ΥΛΙΚΟ</t>
  </si>
  <si>
    <t>ΥΛΙΚΟ ΚΟΣΤΟΣ</t>
  </si>
  <si>
    <t xml:space="preserve">Αντικατασταση μπαταριας επανοφορτιζομενης                                                                 </t>
  </si>
  <si>
    <t>ΝΑΙ</t>
  </si>
  <si>
    <t>MEDTRONIC</t>
  </si>
  <si>
    <t xml:space="preserve">ΠΕΡΙΛΑΜΒΑΝΕΤΑΙ </t>
  </si>
  <si>
    <t>ABBOT</t>
  </si>
  <si>
    <t xml:space="preserve">Αντικατασταση μπαταριας μη επαναφορτιζομενης                                                </t>
  </si>
  <si>
    <t>Τοποθετηση αντλιας πονου</t>
  </si>
  <si>
    <t>SCS trial</t>
  </si>
  <si>
    <t>SCS trial ιδιωτικα</t>
  </si>
  <si>
    <t>SCS μονιμο διαδερμικο</t>
  </si>
  <si>
    <t>SCS μονιμο διαδερμικο ιδιωτικα</t>
  </si>
  <si>
    <t>ΟΛΕΣ ΟΙ ΘΕΡΑΠΕΙΕΣ ΜΕ ΕΟΠΥΥ ΘΕΛΟΥΝ ΑΠΟΦΑΣΗ ΚΕΣΥ</t>
  </si>
  <si>
    <t>ΠΑΡΑΡΤΗΜΑ 1: ΛΙΣΤΑ ΠΡΟΣΦΕΡΟΜΕΝΩΝ ΠΡΟΪΟΝΤΩΝ INTERSTIM</t>
  </si>
  <si>
    <t>A Φαση</t>
  </si>
  <si>
    <t xml:space="preserve">ΑΓΟΡΑ </t>
  </si>
  <si>
    <t>ΕΣΟΔΟ ΕΟΠΠΥ</t>
  </si>
  <si>
    <t xml:space="preserve">ΔΙΑΦΟΡΑ </t>
  </si>
  <si>
    <t>ΚΟΣΤΟΣ ΚΛΙΝΙΚΗΣ</t>
  </si>
  <si>
    <t>ΤΕΛΙΚΟ ΚΟΣΤΟΣ ΜΕ ΦΠΑ ΧΩΡΙΣ ΑΝΑΙΣΘΗΣΙΟΛΟΓΟ</t>
  </si>
  <si>
    <t>Ref</t>
  </si>
  <si>
    <t>Ποσότητα (τεμ)</t>
  </si>
  <si>
    <t>Παρατ/ριο</t>
  </si>
  <si>
    <t>Τιμή παρατ/ρίου (τεμ) NET</t>
  </si>
  <si>
    <t>ΦΠΑ</t>
  </si>
  <si>
    <t>Εξωτερικος διεγερτης verify</t>
  </si>
  <si>
    <t>29.1.113</t>
  </si>
  <si>
    <t>Ιnterstim Surescan ηλεκτροδιο 28cm (πτερυγια) διακενο(4.32 μμ)</t>
  </si>
  <si>
    <t>978B128 ή 978Α128</t>
  </si>
  <si>
    <t>29.1.123</t>
  </si>
  <si>
    <t>Προεκταση ηλεκτροδιου</t>
  </si>
  <si>
    <t>3560022 ή 3560030</t>
  </si>
  <si>
    <t>29.1.127</t>
  </si>
  <si>
    <t>Προγραμματιστής ασθενούς</t>
  </si>
  <si>
    <t>TH90P02 ή 3037</t>
  </si>
  <si>
    <t>29.1.133</t>
  </si>
  <si>
    <t>Συνολο</t>
  </si>
  <si>
    <t>Β φαση Μη επαναφορτιζομενο option 1</t>
  </si>
  <si>
    <t>Τιμή παρατ/ρίου (τεμ)</t>
  </si>
  <si>
    <t>Προσφερομενη</t>
  </si>
  <si>
    <t>Νευροδιεγέρτης Interstim II</t>
  </si>
  <si>
    <t>29.1.131</t>
  </si>
  <si>
    <t>Κεραια προγραμματιστη</t>
  </si>
  <si>
    <t>29.1.110</t>
  </si>
  <si>
    <t>Β φαση Μη επαναφορτιζομενο option 2</t>
  </si>
  <si>
    <t>Νευροδιεγέρτης Interstim X</t>
  </si>
  <si>
    <t>29.1.108</t>
  </si>
  <si>
    <t xml:space="preserve">Β φαση  επαναφορτιζομενο </t>
  </si>
  <si>
    <t>Επαναφορτιζομενος διεγερτης surescan Interstim Micro</t>
  </si>
  <si>
    <t>29.1.121</t>
  </si>
  <si>
    <t>Φορτιστής επαναφορτιζομενου διεγέρτη</t>
  </si>
  <si>
    <t>RS5200</t>
  </si>
  <si>
    <t>29.1.122</t>
  </si>
  <si>
    <t>ΤΙΜΟΚΑΤΑΛΟΓΟΣ ΘΩΡΑΚΟΧΕΙΡΟΥΡΓΙΚΩΝ ΕΠΕΜΒΑΣΕΩΝ</t>
  </si>
  <si>
    <t xml:space="preserve">ΠΕΡΙΓΡΑΦΗ ΠΡΑΞΗΣ </t>
  </si>
  <si>
    <t>Αντιμετώπιση βρογχουπεζωκοτικού συριγγίου (περιλαμβάνει την 1η ημέρα στη ΜΕΘ)</t>
  </si>
  <si>
    <t>Α01Χ</t>
  </si>
  <si>
    <t>Ερευνητική θωρακοτομή για βιοψία (περιλαμβάνει την 1η ημερα στη ΜΕΘ)</t>
  </si>
  <si>
    <t>Θωρακοσκοπική βιοψία &amp; Βιοψία Υπεζωκότα</t>
  </si>
  <si>
    <t>Α02Χ</t>
  </si>
  <si>
    <t>Θωρακοσκοπική χειρουργική</t>
  </si>
  <si>
    <t>Α02Μβ</t>
  </si>
  <si>
    <t>Θωρακοτομή αφαίρεση όγκου-λοβεκτομή (περιλαμβάνει την 1η ημερα στη ΜΕΘ)</t>
  </si>
  <si>
    <t>Θωρακοτομή για αφαέρεση κύστεων-αμαρτωμάτων (περιλαμβάνει την 1η ημέρα στη ΜΕΘ)</t>
  </si>
  <si>
    <t>Θωρακοτομή για εμπύημα (περιλαμβάνει την 1η ημέρα στη ΜΕΘ)</t>
  </si>
  <si>
    <t>Καρκίνος οισοφάγου (περιλαμβάνει την 1η ημέρα στη ΜΕΘ)</t>
  </si>
  <si>
    <r>
      <t xml:space="preserve">Πνευμοθώρακας 
</t>
    </r>
    <r>
      <rPr>
        <b/>
        <i/>
        <sz val="10"/>
        <color rgb="FF000000"/>
        <rFont val="Trebuchet MS"/>
        <family val="2"/>
        <charset val="161"/>
      </rPr>
      <t>*διαφορετικό ΚΕΝ σε περίπτωση πλευριτικής συλλογής</t>
    </r>
  </si>
  <si>
    <t>Α33Χ ή Α28Χ</t>
  </si>
  <si>
    <t>Πνευμονεκτομή (περιλαμβάνει την 1η ημέρα στη ΜΕΘ)</t>
  </si>
  <si>
    <t>Σύνδρομο θωρακικής εξόδου (περιλαμβάνει την 1η ημέρα στη ΜΕΘ)</t>
  </si>
  <si>
    <t xml:space="preserve">Σφηνοειδής Εκτομή </t>
  </si>
  <si>
    <t>Τμηματεκτομή</t>
  </si>
  <si>
    <t>Τοποθέτηση stent ενδοσκοπικά με νάρκωση</t>
  </si>
  <si>
    <t>Α12Χ</t>
  </si>
  <si>
    <t>Τοποθέτηση stent ενδοσκοπικά χωρίς   νάρκωση</t>
  </si>
  <si>
    <t>Οι προσφερόμενες τιμές περιλαμβάνουν:                                                                                    
α. Κόστος Προεγχειρητικού έλεγχου : Γενική Αίματος, INR, ΗΚΓ, Καρδιολογική εξέταση, Κάλιο, Νάτριο, Ουρία, Κρεατινίνη, Α/Α Θώρακος F ή F &amp; P.                                                            
β. Βασικά αναλώσιμα υλικά και συνήθη φάρμακα για την πραγματοποίηση της επέμβασης και την ολοκλήρωση της νοσηλείας (όπως αυτά ορίζονται από την κλινική).                                                                                                            γ. Φ.Π.Α.</t>
  </si>
  <si>
    <t>ΤΙΜΟΚΑΤΑΛΟΓΟΣ ΚΑΡΔΙΟΧΕΙΡΟΥΡΓΙΚΗΣ ΚΛΙΝΙΚΗΣ</t>
  </si>
  <si>
    <t>ΕΙΔΟΣ ΠΡΑΞΗΣ</t>
  </si>
  <si>
    <t>ΜΕΓΙΣΤΟΣ ΧΕΙΡ. ΧΡΟΝΟΣ</t>
  </si>
  <si>
    <t xml:space="preserve"> BA3</t>
  </si>
  <si>
    <t>A</t>
  </si>
  <si>
    <t xml:space="preserve">ΥΛΙΚΑ </t>
  </si>
  <si>
    <t>BY PASS</t>
  </si>
  <si>
    <t>Κ06Χ</t>
  </si>
  <si>
    <t>ΤΟ ΕΝΔΟΑΡΤΙΚΟ ΜΠΑΛΟΝΙ EXTRA</t>
  </si>
  <si>
    <t>TA ΕΧΤΡΑ ΥΛΙΚΑ ΑΠΌ MEDTRONIC ΣΤΟ 55% ΤΗΣ ΤΙΜΗΣ (ΙΔΙΩΤΗΣ ΣΤΟ 100%)</t>
  </si>
  <si>
    <t>BY PASS ΜΕ ΣΤΕΦΑΝΙΟΓΡΑΦΙΑ ΠΡΟΕΓΧΕΙΡΗΤΙΚΑ</t>
  </si>
  <si>
    <t>Κ05Χ</t>
  </si>
  <si>
    <t>ΑΝΤΙΚΑΤΑΣΤΑΣΗ ΚΑΡΔΙΑΚΩΝ ΒΑΛΒΙΔΩΝ</t>
  </si>
  <si>
    <t>Κ04Χ</t>
  </si>
  <si>
    <r>
      <t xml:space="preserve">ΜΕ </t>
    </r>
    <r>
      <rPr>
        <b/>
        <sz val="11"/>
        <color rgb="FF000000"/>
        <rFont val="Trebuchet MS"/>
        <family val="2"/>
        <charset val="161"/>
      </rPr>
      <t>ΜΗΧΑΝΙΚΗ ΒΑΛΒΙΔΑ</t>
    </r>
    <r>
      <rPr>
        <sz val="11"/>
        <color indexed="8"/>
        <rFont val="Trebuchet MS"/>
        <family val="2"/>
        <charset val="161"/>
      </rPr>
      <t xml:space="preserve"> ή ΜΕ </t>
    </r>
    <r>
      <rPr>
        <b/>
        <sz val="11"/>
        <color rgb="FF000000"/>
        <rFont val="Trebuchet MS"/>
        <family val="2"/>
        <charset val="161"/>
      </rPr>
      <t>ΒΙΟΠΡΟΣΘΕΤΙΚΗ ΒΑΛΒΙΔΑ</t>
    </r>
    <r>
      <rPr>
        <sz val="11"/>
        <color indexed="8"/>
        <rFont val="Trebuchet MS"/>
        <family val="2"/>
        <charset val="161"/>
      </rPr>
      <t xml:space="preserve">  (CARDIO INNOVATION) 2.728€  ΤΕΛΙΚΗ ΤΙΜΗ </t>
    </r>
  </si>
  <si>
    <t>AN ΓΙΝΕΙ ΧΡΗΣΗ                 2ης ΒΑΛΒΙΔΑΣ ΠΛΗΡΩΝΕΙ ΤΟ 50% (ΙΔΙΩΤΗΣ ΣΤΟ 100%)</t>
  </si>
  <si>
    <t>ΑΝΤΙΚΑΤΑΣΤΑΣΗ ΚΑΡΔΙΑΚΩΝ ΒΑΛΒΙΔΩΝ ΜΕ ΣΤΕΦΑΝΙΟΓΡΑΦΙΑ ΠΡΟΕΓΧΕΙΡΗΤΙΚΑ</t>
  </si>
  <si>
    <t>Κ03Χ</t>
  </si>
  <si>
    <t>Η ΤΙΜΗ ΔΙΑΦΟΡΟΠΟΙΕΙΤΑΙ ΑΝΑΛΟΓΩΣ ΤΗΝ ΒΑΛΒΙΔΑ (ΜΗΧΑΝΙΚΗ Ή ΒΙΟΠΡΟΣΘΕΤΙΚΗ)</t>
  </si>
  <si>
    <t>ΑΝΕΥΡΥΣΜΑ ΑΝΙΟΥΣΗΣ ΑΟΡΤΗΣ</t>
  </si>
  <si>
    <t>Κ07Χ</t>
  </si>
  <si>
    <t>ΕΠΕΜΒΑΣΗ BENTALL ΣΑΝ ΒΑΛΒΙΔΑ</t>
  </si>
  <si>
    <r>
      <t>ΜΕ ΒΑΛΒΙΔΟΦΟΡΟ ΜΟΣΧΕΥΜA (</t>
    </r>
    <r>
      <rPr>
        <b/>
        <sz val="11"/>
        <color rgb="FF000000"/>
        <rFont val="Trebuchet MS"/>
        <family val="2"/>
        <charset val="161"/>
      </rPr>
      <t>KALTEQ</t>
    </r>
    <r>
      <rPr>
        <sz val="11"/>
        <color indexed="8"/>
        <rFont val="Trebuchet MS"/>
        <family val="2"/>
        <charset val="161"/>
      </rPr>
      <t xml:space="preserve">) </t>
    </r>
    <r>
      <rPr>
        <sz val="11"/>
        <color rgb="FF000000"/>
        <rFont val="Trebuchet MS"/>
        <family val="2"/>
        <charset val="161"/>
      </rPr>
      <t xml:space="preserve">4.216€ </t>
    </r>
    <r>
      <rPr>
        <b/>
        <sz val="11"/>
        <color rgb="FF000000"/>
        <rFont val="Trebuchet MS"/>
        <family val="2"/>
        <charset val="161"/>
      </rPr>
      <t xml:space="preserve"> </t>
    </r>
    <r>
      <rPr>
        <sz val="11"/>
        <color indexed="8"/>
        <rFont val="Trebuchet MS"/>
        <family val="2"/>
        <charset val="161"/>
      </rPr>
      <t xml:space="preserve">ΤΕΛΙΚΗ ΤΙΜΗ </t>
    </r>
  </si>
  <si>
    <r>
      <t>ΜΕ ΒΑΛΒΙΔΟΦΟΡΟ ΜΟΣΧΕΥΜA (</t>
    </r>
    <r>
      <rPr>
        <b/>
        <sz val="11"/>
        <color rgb="FF000000"/>
        <rFont val="Trebuchet MS"/>
        <family val="2"/>
        <charset val="161"/>
      </rPr>
      <t>CARDIO INNOVATION</t>
    </r>
    <r>
      <rPr>
        <sz val="11"/>
        <color indexed="8"/>
        <rFont val="Trebuchet MS"/>
        <family val="2"/>
        <charset val="161"/>
      </rPr>
      <t xml:space="preserve">) 5.270€  ΤΕΛΙΚΗ ΤΙΜΗ </t>
    </r>
  </si>
  <si>
    <t>ΤΙΤΛΟΣ ΕΠΕΜΒΑΣΗΣ</t>
  </si>
  <si>
    <t>ΧΡΟΝΟΙ Χ/ΓΕΙΟΥ</t>
  </si>
  <si>
    <t>ΙΔΙΩΤΗΣ BA 
ME ΦΠΑ</t>
  </si>
  <si>
    <t xml:space="preserve">ΕΟΠΥΥ ΒΑ 
ΜΕ ΦΠΑ </t>
  </si>
  <si>
    <t xml:space="preserve">ΔΗΜΙΟΥΡΓΙΑ ΠΕΡΙΚΑΡΔΙΑΚΟΥ ΠΑΡΑΘΥΡΟΥ </t>
  </si>
  <si>
    <t>Κ09Χ</t>
  </si>
  <si>
    <t>2 ώρες</t>
  </si>
  <si>
    <t xml:space="preserve">Περιλαμβάνεται 1 ιστολογική εξέταση             -150 ΕΥΡΩ ΣΕ ΠΕΡΙΠΤΩΣΗ ΝΟΣΗΛΕΙΑΣ ΣΕ ΒΑ3 </t>
  </si>
  <si>
    <t xml:space="preserve">ΗΚΓ, ΓΕΝ ΑΙΜΑΤΟΣ, INR, ΚΑΛΙΟ, ΝΑΤΡΙΟ, ΣΑΚΧΑΡΟ, ΟΥΡΙΑ, ΚΡΕΑΤΙΝΙΝΗ, 
ΧΡ. ΜΕΡ. ΘΡΟΜΒΟΠΛΑΣΤΙΝΗΣ, ΦΑΙΝΟΤΥΠΟΣ, RHESUS, ΟΜΑΔΑ, COOMBS, ΔΙΑΣΤΑΥΡΩΣΗ </t>
  </si>
  <si>
    <t>Προσθήκη 26/11/2025</t>
  </si>
  <si>
    <t xml:space="preserve">Eπιπλέον πακέτου Α ανά ημέρα νοσηλείας με Φ.Π.Α. </t>
  </si>
  <si>
    <t>Οι προσφερόμενες τιμές περιλαμβάνουν:                                                                                    
α. Κόστος Προεγχειρητικού έλεγχου : Γενική Αίματος, INR, ΗΚΓ, Καρδιολογική εξέταση, triplex καρδιάς, Κάλιο, Νάτριο, Ουρία, Κρεατινίνη, Α/Α Θώρακος F ή F &amp; P.                                                            
β. Βασικά αναλώσιμα υλικά και συνήθη φάρμακα για την πραγματοποίηση της επέμβασης και την ολοκλήρωση της νοσηλείας (όπως αυτά ορίζονται από την κλινική).                                                                                                         
γ. Φ.Π.Α.</t>
  </si>
  <si>
    <r>
      <t xml:space="preserve">Κατόπιν οδηγίας του κ.Βιρβίλη, θα ισχύει </t>
    </r>
    <r>
      <rPr>
        <sz val="12"/>
        <color rgb="FFFF0000"/>
        <rFont val="Trebuchet MS"/>
        <family val="2"/>
        <charset val="161"/>
      </rPr>
      <t xml:space="preserve">πακέτο για επείγοντα χειρουργεία βαλβίδας ή by pass 2.000 € </t>
    </r>
    <r>
      <rPr>
        <sz val="12"/>
        <color theme="1"/>
        <rFont val="Trebuchet MS"/>
        <family val="2"/>
        <charset val="161"/>
      </rPr>
      <t>με ΕΟΠΥΥ.</t>
    </r>
  </si>
  <si>
    <r>
      <t xml:space="preserve">Σε περιπτώσεις πραγματοποίησης </t>
    </r>
    <r>
      <rPr>
        <sz val="12"/>
        <color rgb="FFFF0000"/>
        <rFont val="Trebuchet MS"/>
        <family val="2"/>
        <charset val="161"/>
      </rPr>
      <t>συνδυαστικών επεμβάσεων by pass και βαλβίδας, θα χρεώνεται το δεύτερο πακέτο στο 50%</t>
    </r>
  </si>
  <si>
    <t>ΝΕΟΣ ΤΙΜΟΚΑΤΑΛΟΓΟΣ ΜΟΝΑΔΑΣ ΜΑΣΤΟΥ</t>
  </si>
  <si>
    <t>Είδος επέμβασης</t>
  </si>
  <si>
    <t>Ογκεκτομη</t>
  </si>
  <si>
    <t>1 ημέρα</t>
  </si>
  <si>
    <t>Δ23Χ</t>
  </si>
  <si>
    <r>
      <t>τιμή για ΒΑ2 (*για ΒΑ3 ΕΟΠΥΥ</t>
    </r>
    <r>
      <rPr>
        <sz val="11"/>
        <color rgb="FFFF0000"/>
        <rFont val="Trebuchet MS"/>
        <family val="2"/>
        <charset val="161"/>
      </rPr>
      <t xml:space="preserve"> 700€</t>
    </r>
    <r>
      <rPr>
        <sz val="11"/>
        <color theme="1"/>
        <rFont val="Trebuchet MS"/>
        <family val="2"/>
        <charset val="161"/>
      </rPr>
      <t>/Ιδιώτης 815**για Α+ ΕΟΠΥΥ</t>
    </r>
    <r>
      <rPr>
        <sz val="11"/>
        <color rgb="FFFF0000"/>
        <rFont val="Trebuchet MS"/>
        <family val="2"/>
        <charset val="161"/>
      </rPr>
      <t xml:space="preserve"> 1070€</t>
    </r>
    <r>
      <rPr>
        <sz val="11"/>
        <color theme="1"/>
        <rFont val="Trebuchet MS"/>
        <family val="2"/>
        <charset val="161"/>
      </rPr>
      <t>/Ιδιώτης 1185€)</t>
    </r>
  </si>
  <si>
    <t>Μαστεκτομη</t>
  </si>
  <si>
    <t>Δ06Α</t>
  </si>
  <si>
    <t>Βιοψία φρουρού λεμφαδένα</t>
  </si>
  <si>
    <t>τιμή για ODC ΒΡΑΧΕΙΑ (*για ΒΑ3 ΕΟΠΥΥ 775 **για ΒΑ2 ΕΟΠΥΥ 961)</t>
  </si>
  <si>
    <t>Ογκεκτομή + Φρουρός λεμφαδένας</t>
  </si>
  <si>
    <t xml:space="preserve">τιμή για ΒΑ2  </t>
  </si>
  <si>
    <t>Ογκεκτομή + Φρουρός +Λεμφαδενικός καθαρισμός</t>
  </si>
  <si>
    <t>τιμή για ΒΑ2</t>
  </si>
  <si>
    <t>Μαστεκτομή + Φρουρός λεμφαδένας</t>
  </si>
  <si>
    <t xml:space="preserve">Ανακατασκευη με προθεμα αμεσα μετα Μαστεκτομή + επέμβαση λεμφαδένων </t>
  </si>
  <si>
    <t>2 ημέρες</t>
  </si>
  <si>
    <t>Δ14Α</t>
  </si>
  <si>
    <t>τιμή για Α+ *χειρουργικός χρόνος έως 3 ώρες</t>
  </si>
  <si>
    <t>Αντικατάσταση διατατήρα με μόνιμο ένθεμα</t>
  </si>
  <si>
    <t>Στις ανωτέρω τιμές συμπεριλαμβάνονται: απλές ιστολογικές,συνήθη υλικά και λαβίδες,ΦΠΑ 24%</t>
  </si>
  <si>
    <r>
      <t xml:space="preserve">Δεν συμπεριλαμβάνονται: </t>
    </r>
    <r>
      <rPr>
        <sz val="11"/>
        <color rgb="FFFF0000"/>
        <rFont val="Trebuchet MS"/>
        <family val="2"/>
        <charset val="161"/>
      </rPr>
      <t xml:space="preserve"> ταχεία βιοψία</t>
    </r>
    <r>
      <rPr>
        <sz val="11"/>
        <color theme="1"/>
        <rFont val="Trebuchet MS"/>
        <family val="2"/>
        <charset val="161"/>
      </rPr>
      <t>, ειδικά υλικά ,αμοιβή αναισθησιολόγου</t>
    </r>
  </si>
  <si>
    <t>Χρέωση Ανοσοιστοχημείας και Ορμονικών υποδοχέων:   ειδικό  πακέτο         245</t>
  </si>
  <si>
    <t xml:space="preserve">ΕΞΩΤΕΡΙΚΑ ΙΑΤΡ. - ΕΠΙΣΚΕΨΕΙΣ : </t>
  </si>
  <si>
    <t xml:space="preserve"> ΣΤΕΡΕΟΤΑΚΤΙΚΗ ΒΙΟΨΙΑ ΜΑΣΤΟΥ ΜΕ ΜΑΣΤΟΓΡΑΦΟ (MAMOTOM)Η τιμή περιλαμβάνει αμοιβή ακτινολόγου (κα Νικήτα) 150 ευρώ +υλικό 788 € (τελική τιμή) +ιστολογική</t>
  </si>
  <si>
    <t>E.I</t>
  </si>
  <si>
    <t xml:space="preserve">Περιλαμβάνει: 1) Εξέταση πηκτικότητας της ασθενούς PT, PTT, INR, 2) Χρήση του μαστογράφου διάρκειας περίπου 1 ώρας μαζί με τεχνολόγο και νοσηλευτή, 3)Κόστος 2 υλικών (τιμολογημένο από MEDIUSE 788 € συμπεριλαμβανομένου ΦΠΑ), 4) Αμοιβή ακτινολόγου (150€), 5) Ιστολογική εξέταση
, 6) Παραμονή της ασθενούς στο χώρο της βραχείας 1-2 ωρών περίπου </t>
  </si>
  <si>
    <t>extra αμοιβή αναισθησιολόγου</t>
  </si>
  <si>
    <t xml:space="preserve">Διαδερμική βιοψία μαστού με υπέρηχο (Core Biopsy) στο ιατρείο </t>
  </si>
  <si>
    <t>Ε.Ι.</t>
  </si>
  <si>
    <t>200+αμοιβή χειρουργού</t>
  </si>
  <si>
    <t>Μικροχρωματισμός θηλής και θηλαίας άλω ( Η τιμή περιλαμβάνει όλες τις συνεδρίες χωρίς την αμοιβή ιατρού)</t>
  </si>
  <si>
    <t>232+αμοιβή χειρουργού</t>
  </si>
  <si>
    <t>Σε όλα τα παραπάνω εάν τοποθετείται οδηγός θα προστίθεται ένα κόστος:</t>
  </si>
  <si>
    <t xml:space="preserve">Τοποθέτηση οδηγού υπό US </t>
  </si>
  <si>
    <t>Εάν τοποθετηθεί από την κα Νικήτα +50€</t>
  </si>
  <si>
    <t>Τοποθέτηση οδηγού στερεοτακτικά</t>
  </si>
  <si>
    <t>Εμπεριέχεται αμοιβή κας Νικήτα 125€</t>
  </si>
  <si>
    <t xml:space="preserve">      ΤΙΜΟΚΑΤΑΛΟΓΟΣ ΝΕΥΡΟΧΕΙΡΟΥΡΓΙΚΩΝ ΕΠΕΜΒΑΣΕΩΝ</t>
  </si>
  <si>
    <t>Υλικα ιδωτη</t>
  </si>
  <si>
    <t>Απόφαση ΚΕΣΥ</t>
  </si>
  <si>
    <t>3η κοιλιοστομια</t>
  </si>
  <si>
    <t>Ν02Χ</t>
  </si>
  <si>
    <t>ΥΛΙΚΑ EXTRA</t>
  </si>
  <si>
    <t xml:space="preserve"> </t>
  </si>
  <si>
    <t>extra</t>
  </si>
  <si>
    <t>με υλικα</t>
  </si>
  <si>
    <t>ΠΕΡΙΛΑΜΒΑΝΕΙ ΤΑ ΥΛΙΚΑ</t>
  </si>
  <si>
    <t>Διαδερμικη καταστροφη γαγγλιου τριδυμου (ανεξαρτητα μεθοδου) και ανεξαρτητα εάν γινει σε χειρουργειο, αξονικο ή υβριδικο Χ703541</t>
  </si>
  <si>
    <t>Ν07Χ</t>
  </si>
  <si>
    <t xml:space="preserve">Εμβολισμός ανευρύσματος EAVM εγκεφάλου με (1) ΜΕΘ ή ΜΑΦ </t>
  </si>
  <si>
    <t>N07X</t>
  </si>
  <si>
    <t>ΥΛΙΚΑ ΣΥΜΜΕΤΟΧΗ 50%</t>
  </si>
  <si>
    <t>ΚΡΑΝΙΟΤΟΜΙΑ (ΗΜΕΡΕΣ 3/1ΜΕΘ)</t>
  </si>
  <si>
    <t>N02X</t>
  </si>
  <si>
    <t>ΚΡΑΝΙΟΤΟΜΙΑ (ΗΜΕΡΕΣ 3/1ΜΕΘ) ME ΥΛΙΚΑ</t>
  </si>
  <si>
    <t>ΚΡΑΝΙΟΤΟΜΙΑ (ΗΜΕΡΕΣ 5/2ΜΕΘ)</t>
  </si>
  <si>
    <t>ΚΡΑΝΙΟΤΟΜΙΑ (ΗΜΕΡΕΣ 5/2ΜΕΘ) ME ΥΛΙΚΑ</t>
  </si>
  <si>
    <t>ΚΡΑΝΙΟΤΟΜΙΑ (ΗΜΕΡΕΣ 8/3ΜΕΘ)</t>
  </si>
  <si>
    <t>ΚΡΑΝΙΟΤΟΜΙΑ (ΗΜΕΡΕΣ 8/3ΜΕΘ) ΜΕ ΥΛΙΚΑ</t>
  </si>
  <si>
    <t xml:space="preserve">Τοποθετηση shunt ΕΝΥ </t>
  </si>
  <si>
    <t xml:space="preserve">Αφαίρεση Αδενώματος Υπόφυσης (Διασφηνοειδικά) </t>
  </si>
  <si>
    <t>ΟΙ ΤΙΜΕΣ ΠΕΡΙΛΑΜΒΑΝΟΥΝ ΦΠΑ 24%</t>
  </si>
  <si>
    <r>
      <rPr>
        <b/>
        <sz val="11"/>
        <rFont val="Trebuchet MS"/>
        <family val="2"/>
      </rPr>
      <t>ΠΕΡΙΓΡΑΦΗ ΠΡΑΞΗΣ</t>
    </r>
  </si>
  <si>
    <r>
      <rPr>
        <b/>
        <sz val="11"/>
        <rFont val="Trebuchet MS"/>
        <family val="2"/>
      </rPr>
      <t>ΠΑΡΑΜΟΝΗ</t>
    </r>
  </si>
  <si>
    <r>
      <rPr>
        <b/>
        <sz val="11"/>
        <rFont val="Trebuchet MS"/>
        <family val="2"/>
      </rPr>
      <t>ΙΔΙΩΤΗΣ ΜΕ ΦΠΑ 24%</t>
    </r>
  </si>
  <si>
    <r>
      <rPr>
        <b/>
        <sz val="11"/>
        <rFont val="Trebuchet MS"/>
        <family val="2"/>
      </rPr>
      <t>ΕΟΠΥΥ ΜΕ ΦΠΑ 24%</t>
    </r>
  </si>
  <si>
    <r>
      <rPr>
        <b/>
        <sz val="11"/>
        <rFont val="Trebuchet MS"/>
        <family val="2"/>
      </rPr>
      <t>ΕΞΕΤΑΣΕΙΣ ΠΑΚΕΤΟΥ</t>
    </r>
  </si>
  <si>
    <r>
      <rPr>
        <b/>
        <sz val="11"/>
        <rFont val="Trebuchet MS"/>
        <family val="2"/>
      </rPr>
      <t>ΠΑΡΑΤΗΡΗΣΕΙΣ</t>
    </r>
  </si>
  <si>
    <r>
      <rPr>
        <sz val="11"/>
        <rFont val="Trebuchet MS"/>
        <family val="2"/>
      </rPr>
      <t>Ο.Ν.Π. (Σκλήρυνση κατά πλάκας)</t>
    </r>
  </si>
  <si>
    <r>
      <rPr>
        <sz val="11"/>
        <rFont val="Trebuchet MS"/>
        <family val="2"/>
      </rPr>
      <t>ODC</t>
    </r>
  </si>
  <si>
    <r>
      <rPr>
        <b/>
        <sz val="11"/>
        <color rgb="FFFF0000"/>
        <rFont val="Trebuchet MS"/>
        <family val="2"/>
        <charset val="161"/>
      </rPr>
      <t>ΜΟΝΟ</t>
    </r>
    <r>
      <rPr>
        <sz val="11"/>
        <rFont val="Trebuchet MS"/>
        <family val="2"/>
      </rPr>
      <t xml:space="preserve"> ΓΕΝΙΚΗ Ε.Ν.Υ</t>
    </r>
  </si>
  <si>
    <r>
      <rPr>
        <sz val="11"/>
        <rFont val="Trebuchet MS"/>
        <family val="2"/>
      </rPr>
      <t>1 ημέρα</t>
    </r>
  </si>
  <si>
    <t>Τιμή για ΒΑ2</t>
  </si>
  <si>
    <t>Ο.Ν.Π. (Σκλήρυνση κατά πλάκας)</t>
  </si>
  <si>
    <t>ΓΕΝΙΚΗ Ε.Ν.Υ + ΟΛΙΓΟΚΛΩΝΙΚΑ ΑΝΤΙΣΩΜΑΤΑ ΕΝΥ</t>
  </si>
  <si>
    <r>
      <rPr>
        <sz val="11"/>
        <rFont val="Trebuchet MS"/>
        <family val="2"/>
      </rPr>
      <t>Ο.Ν.Π. (ALZHEIMER 1 ΣΤΟ ΕΝΥ)</t>
    </r>
  </si>
  <si>
    <t>ΓΕΝΙΚΗ Ε.Ν.Υ +ALZHEIMER 1 ΣΤΟ ΕΝΥ</t>
  </si>
  <si>
    <t>ΓΕΝΙΚΗ Ε.Ν.Υ + ALZHEIMER 1 ΣΤΟ ΕΝΥ</t>
  </si>
  <si>
    <r>
      <rPr>
        <sz val="11"/>
        <rFont val="Trebuchet MS"/>
        <family val="2"/>
      </rPr>
      <t>Τιμή για ΒΑ2</t>
    </r>
  </si>
  <si>
    <r>
      <rPr>
        <sz val="11"/>
        <rFont val="Trebuchet MS"/>
        <family val="2"/>
      </rPr>
      <t>Στις ανωτέρω τιμές περιλαμβάνονται: νοσήλιο, εξετάσεις πακέτου, φάρμακα, βελόνα παρακέντησης &amp; απλό υγειονομικό υλικό</t>
    </r>
  </si>
  <si>
    <t xml:space="preserve">   ΤΙΜΟΚΑΤΑΛΟΓΟΣ ΟΡΘΟΠΕΔΙΚΩΝ ΕΠΕΜΒΑΣΕΩΝ</t>
  </si>
  <si>
    <t>ΙΔΙΩΤΗΣ ΒΑ3
2026</t>
  </si>
  <si>
    <t xml:space="preserve">ΕΟΠΥΥ ΒΑ3
2026 </t>
  </si>
  <si>
    <t xml:space="preserve">ΕΟΠΥΥ ΒΑ
2026 </t>
  </si>
  <si>
    <t xml:space="preserve">Αρθροσκόπηση γόνατος - μηνισκεκτομή </t>
  </si>
  <si>
    <t xml:space="preserve"> Μ24Α</t>
  </si>
  <si>
    <t>Eξιτήριο την ίδια ημέρα  μέχρι τις 13.00. *Oποιαδήποτε παράταση νοσηλείας του ασθενή θα επιβαρύνει το κόστος με τη διαφορά τιμής που προκύπτει από τη θέση που παραμένει.</t>
  </si>
  <si>
    <t>Μ22Α</t>
  </si>
  <si>
    <t>Ρήξη τενόντιου πετάλου ώμου αρθροσκοπικά</t>
  </si>
  <si>
    <t>Πλαστική χιαστού (προσθίου – οπισθίου) αρθροσκοπικά</t>
  </si>
  <si>
    <t>Ολική Αρθροπλαστική ώμου</t>
  </si>
  <si>
    <t>Μ05Χ</t>
  </si>
  <si>
    <t>2 ώρες Χ/ΟΥ</t>
  </si>
  <si>
    <t>2 ώρες Χ/ΟΥ περιλαμβάνει υλικά έως 3.300€ (καθαρή αξία)</t>
  </si>
  <si>
    <t>Αναθεώρηση ολικής αρθροπλαστικής ισχίου</t>
  </si>
  <si>
    <t>Μ31Χ</t>
  </si>
  <si>
    <t>Αναθεώρηση ολικής αρθροπλαστικής γονατος</t>
  </si>
  <si>
    <t>Μ32Χ</t>
  </si>
  <si>
    <t>Ρήξη αχίλλειου με μόσχευμα ή χωρίς</t>
  </si>
  <si>
    <t>Μ71Χ</t>
  </si>
  <si>
    <t>Aποσυμπίεση ωλένιου νεύρου                    icd10 g56.2</t>
  </si>
  <si>
    <t>Hallux Valgus (1 πόδι)</t>
  </si>
  <si>
    <t>Μ20Α</t>
  </si>
  <si>
    <t>Ανοικτή μηνισκεκτομή</t>
  </si>
  <si>
    <t>Μ18Α</t>
  </si>
  <si>
    <t>Αρθρόδεση (φαλαγγοφαλαγγική) μικρού δακτύλου ποδιού</t>
  </si>
  <si>
    <t>Έως 2 ώρες Χ/Ο</t>
  </si>
  <si>
    <r>
      <rPr>
        <b/>
        <sz val="11"/>
        <color theme="1"/>
        <rFont val="Trebuchet MS"/>
        <family val="2"/>
        <charset val="161"/>
      </rPr>
      <t>Τενοτομή μικρού δακτύλου ποδιού με τοπική νάρκωση  </t>
    </r>
    <r>
      <rPr>
        <b/>
        <sz val="11"/>
        <color rgb="FFFF0000"/>
        <rFont val="Trebuchet MS"/>
        <family val="2"/>
        <charset val="161"/>
      </rPr>
      <t>(ως επίσκεψη)</t>
    </r>
  </si>
  <si>
    <t>Έως 30’ Χ/Ο</t>
  </si>
  <si>
    <t>Αρθρόδεση καρπού</t>
  </si>
  <si>
    <t>Αρθρόδεση ταρσού</t>
  </si>
  <si>
    <t>Αφαίρεση (πλάκα – ήλου) – Μηρού</t>
  </si>
  <si>
    <t>Μ21Α</t>
  </si>
  <si>
    <t>Αφαίρεση (πλάκας– ήλου) Κνήμης</t>
  </si>
  <si>
    <t>Μ23Α</t>
  </si>
  <si>
    <t>Αφαίρεση (πλάκας) βραχιονίου</t>
  </si>
  <si>
    <t>Αφαίρεση γαγγλίου καρπού</t>
  </si>
  <si>
    <t>Μ30Α</t>
  </si>
  <si>
    <t>Αφαίρεση ενός κοχλία ή Kirsher ή Αγκράφος</t>
  </si>
  <si>
    <t>Αφαίρεση μεμονωμένης πλάκας έξω σφυρού</t>
  </si>
  <si>
    <t>Αφαίρεση πλακών (2) Αντιβραχίου</t>
  </si>
  <si>
    <t>Αφαίρεση υλικών έσω – έξω σφυρού, ωλένης, κερκίδας, ωλεκράνου</t>
  </si>
  <si>
    <t>Διατροχαντήριο κάταγμα</t>
  </si>
  <si>
    <t>Μ08Χ</t>
  </si>
  <si>
    <t>Εξωτερική οστεοσύνθεση κατάγματος κνήμης</t>
  </si>
  <si>
    <t>Μ61Μ</t>
  </si>
  <si>
    <t>Επέμβαση έως πτώσεως μεταταρσίων</t>
  </si>
  <si>
    <t>Ημιολική αρθροπλαστική</t>
  </si>
  <si>
    <t>Κάταγμα αντιβραχίου</t>
  </si>
  <si>
    <t>Μ13Χ</t>
  </si>
  <si>
    <t>Κάταγμα βραχιονίου</t>
  </si>
  <si>
    <t>Κάταγμα κλείδας</t>
  </si>
  <si>
    <t>Μ16Α</t>
  </si>
  <si>
    <t>Κάταγμα κνήμης (ήλος – πλάκα)</t>
  </si>
  <si>
    <t>Κάταγμα κνημιαίων κονδύλων</t>
  </si>
  <si>
    <t>Κάταγμα μηρού (πλάκα – ήλος)</t>
  </si>
  <si>
    <t>Κάταγμα σφυρών</t>
  </si>
  <si>
    <t>Κάταγμα ωλεκράνου</t>
  </si>
  <si>
    <t xml:space="preserve">Οστεοσύνθεση κεφαλής κερκίδας </t>
  </si>
  <si>
    <t>Ρήξη τενοντίου πετάλου ώμου ανοικτά</t>
  </si>
  <si>
    <r>
      <t xml:space="preserve">Σύνδρομο De Querven </t>
    </r>
    <r>
      <rPr>
        <b/>
        <sz val="12"/>
        <color rgb="FFFF0000"/>
        <rFont val="Trebuchet MS"/>
        <family val="2"/>
        <charset val="161"/>
      </rPr>
      <t>(επίσκεψη)</t>
    </r>
  </si>
  <si>
    <t>Σύνδρομο Duputren</t>
  </si>
  <si>
    <t xml:space="preserve">Σύνδρομο καρπιαίου σωλήνα </t>
  </si>
  <si>
    <t>Ν05Α</t>
  </si>
  <si>
    <t>Εκτινασσόμενος δάκτυλος - Trigger Finger</t>
  </si>
  <si>
    <t>Χ635981</t>
  </si>
  <si>
    <t>Τοποθέτηση εξωτερικής οστεοσύνθεσης για κάταγμα  Colles – Άκρας Χείρας</t>
  </si>
  <si>
    <t>Τοποθέτηση εξωτερικής οστεοσύνθεσης κερκιδος</t>
  </si>
  <si>
    <t>Μ74Α</t>
  </si>
  <si>
    <t>Χειρουργική αντιμετώπιση καθ’ εξιν εξαρθρήματος ώμου ανοικτά</t>
  </si>
  <si>
    <t>*Οι τιμές ισχύουν για ασφαλισμένους ΕΟΠΥΥ που νοσηλεύονται σε θέση Γ (5-4κλινο).
Η νοσηλεία σε Γ θέση πραγματοποιείται εφόσον υφίσταται διαθεσιμότητα κλίνης. Μη αποδεδειγμένη διαθεσιμότητα δε συνεπάγεται νοσηλεία σε ανώτερη θέση άνευ αντίστοιχης επιβάρυνσης.
Για νοσηλεία σε ανώτερη θέση θα ισχύει επιβάρυνση σύμφωνα με το συνημμένο πίνακα.</t>
  </si>
  <si>
    <t>Ολική αρθροπλαστική ισχίου</t>
  </si>
  <si>
    <t>Μ03Χ</t>
  </si>
  <si>
    <t xml:space="preserve"> *1.700 €</t>
  </si>
  <si>
    <t>*1.650 €</t>
  </si>
  <si>
    <r>
      <t xml:space="preserve">Περιλαμβάνει υλικά </t>
    </r>
    <r>
      <rPr>
        <b/>
        <sz val="11"/>
        <color rgb="FF000000"/>
        <rFont val="Trebuchet MS"/>
        <family val="2"/>
        <charset val="161"/>
      </rPr>
      <t>έως</t>
    </r>
    <r>
      <rPr>
        <sz val="11"/>
        <color rgb="FF000000"/>
        <rFont val="Trebuchet MS"/>
        <family val="2"/>
        <charset val="161"/>
      </rPr>
      <t xml:space="preserve"> 1.350€ (καθαρή αξία)</t>
    </r>
  </si>
  <si>
    <t>Ολική αρθροπλαστική γόνατος</t>
  </si>
  <si>
    <t>Μ04Χ</t>
  </si>
  <si>
    <t>*1.590 €</t>
  </si>
  <si>
    <r>
      <rPr>
        <b/>
        <i/>
        <sz val="12"/>
        <color theme="1"/>
        <rFont val="Trebuchet MS"/>
        <family val="2"/>
        <charset val="161"/>
      </rPr>
      <t>ΑΡΘΡΟΠΛΑΣΤΙΚΕΣ ΑΜΦΩ :</t>
    </r>
    <r>
      <rPr>
        <sz val="12"/>
        <color theme="1"/>
        <rFont val="Trebuchet MS"/>
        <family val="2"/>
        <charset val="161"/>
      </rPr>
      <t xml:space="preserve">
1. </t>
    </r>
    <r>
      <rPr>
        <b/>
        <sz val="12"/>
        <color theme="1"/>
        <rFont val="Trebuchet MS"/>
        <family val="2"/>
        <charset val="161"/>
      </rPr>
      <t>Σε ασθενή με ΕΟΠΥΥ.</t>
    </r>
    <r>
      <rPr>
        <sz val="12"/>
        <color theme="1"/>
        <rFont val="Trebuchet MS"/>
        <family val="2"/>
        <charset val="161"/>
      </rPr>
      <t xml:space="preserve"> Αν πχ πακέτο 1.700€ και υλικά 2.700€ προ Φ.Π.Α., ο ασθενής θα πληρώνει δύο πακέτα. Δηλαδή 1.700€*2=3.400€.
2.</t>
    </r>
    <r>
      <rPr>
        <b/>
        <sz val="12"/>
        <color theme="1"/>
        <rFont val="Trebuchet MS"/>
        <family val="2"/>
        <charset val="161"/>
      </rPr>
      <t xml:space="preserve"> Σε ιδιώτη ασθενή (χωρίς ταμείο). </t>
    </r>
    <r>
      <rPr>
        <sz val="12"/>
        <color theme="1"/>
        <rFont val="Trebuchet MS"/>
        <family val="2"/>
        <charset val="161"/>
      </rPr>
      <t>Θα χρεώνεται ένα πακέτο και επιπλέον τα υλικά.</t>
    </r>
  </si>
  <si>
    <t>Οι προσφερόμενες τιμές περιλαμβάνουν:                                                                                    
α. Κόστος Προεγχειρητικού έλεγχου (εκτός ODC): Γενική Αίματος, INR, ΗΚΓ, Καρδιολογική εξέταση, Κάλιο, Νάτριο, Ουρία, Κρεατινίνη, Α/Α Θώρακος F ή F &amp; P.                                                            
β. Κόστος Προεγχειρητικού έλεγχου ODC: Γενική Αίματος, INR, ΗΚΓ.          
γ. Βασικά αναλώσιμα υλικά και συνήθη φάρμακα για την πραγματοποίηση της επέμβασης και την ολοκλήρωση της νοσηλείας (όπως αυτά ορίζονται από την κλινική).
δ. Φ.Π.Α.</t>
  </si>
  <si>
    <t>ΤΙΜΟΚΑΤΑΛΟΓΟΣ ΟΥΡΟΛΟΓΙΚΩΝ ΕΠΕΜΒΑΣΕΩΝ</t>
  </si>
  <si>
    <t>Χρόνοι χ/γείου Ενδεικτικά</t>
  </si>
  <si>
    <t>Αλλαγή pig-tail</t>
  </si>
  <si>
    <t>Υ24Α</t>
  </si>
  <si>
    <t>15'</t>
  </si>
  <si>
    <t>Αυξητική πέους (Φαλλοπλαστική)</t>
  </si>
  <si>
    <t>100'/120'</t>
  </si>
  <si>
    <t>Περιλαμβάνει έως 5 Ράμματα</t>
  </si>
  <si>
    <t>Αφαίρεση pig-tail</t>
  </si>
  <si>
    <t>Υ21Α</t>
  </si>
  <si>
    <t>Αφαίρεση εκκολπώματος Ουροδόχου κύστεως</t>
  </si>
  <si>
    <t>Υ04Χ</t>
  </si>
  <si>
    <t>150'</t>
  </si>
  <si>
    <t>Βιοψία όρχεος</t>
  </si>
  <si>
    <t>Β04Α</t>
  </si>
  <si>
    <t>30'</t>
  </si>
  <si>
    <t>Βιοψίες Προστάτου κατευθυνόμενες διά διορθικού υπερηχογραφήματος</t>
  </si>
  <si>
    <t>Β24Α</t>
  </si>
  <si>
    <t>Κάθε είδος νάρκωσης</t>
  </si>
  <si>
    <t>Β21Α (για καλοήθη υπερπλασία)</t>
  </si>
  <si>
    <t>Διακυστική αφαίρεση λίθου</t>
  </si>
  <si>
    <t>Υ09Χ</t>
  </si>
  <si>
    <t>45'</t>
  </si>
  <si>
    <t>Διαστολή ή τομή Ουρητηρικού στομίου</t>
  </si>
  <si>
    <t>Υ20Α</t>
  </si>
  <si>
    <t>Διουρηθρική αφαίρεση Θηλωμάτων/ Διουρηθρική Λιθοτριψία στην ουροδόχο κύστη</t>
  </si>
  <si>
    <t>Υ07Χ</t>
  </si>
  <si>
    <t>60'</t>
  </si>
  <si>
    <t>Διουρηθρική Προστατεκτομή</t>
  </si>
  <si>
    <t>Β02Χ</t>
  </si>
  <si>
    <t>120'</t>
  </si>
  <si>
    <t>Ειδικές επεμβάσεις για επιπλεγμένες καταστάσεις ουρήθρας και πέους. Επανεπεμβάσεις μετά από αποτυχημένη επέμβαση</t>
  </si>
  <si>
    <t>200'</t>
  </si>
  <si>
    <t>Ενδοσκοπική μηχανική ή δι΄υπερήχων λιθοτριψία λίθων Ουροδόχου Κύστεως</t>
  </si>
  <si>
    <t>Επιδιδυμιδεκτομή</t>
  </si>
  <si>
    <t>Ηλεκτρoκαυτηριασμός HPV (κονδυλώματα πέους)</t>
  </si>
  <si>
    <t>Κάμψη πέους - Νόσος Peyronie-αποκατάσταση με πτύχωση</t>
  </si>
  <si>
    <t>Β03Α</t>
  </si>
  <si>
    <t>90'/120'</t>
  </si>
  <si>
    <t>Περιλαμβάνει έως 3 Ράμματα</t>
  </si>
  <si>
    <t>Κιρσοκήλη</t>
  </si>
  <si>
    <t>Y30A</t>
  </si>
  <si>
    <t>Περιλαμβάνει έως 4 Ράμματα</t>
  </si>
  <si>
    <t>Β23Α</t>
  </si>
  <si>
    <t xml:space="preserve">Κυστεοσκόπηση απλή </t>
  </si>
  <si>
    <t>Νεφρεκτομή (Μερική, Ολική ή Ριζική)</t>
  </si>
  <si>
    <t>Ορχεκτομή</t>
  </si>
  <si>
    <t>Βουβωνική</t>
  </si>
  <si>
    <t xml:space="preserve">Ουρητηρο-πυελολιθοτομή </t>
  </si>
  <si>
    <t>(X680219)</t>
  </si>
  <si>
    <t xml:space="preserve">Ουρητηροσκόπηση </t>
  </si>
  <si>
    <t xml:space="preserve">Ουρητηροσκόπηση με αφαίρεση λίθου ουρητήρα </t>
  </si>
  <si>
    <t>90'</t>
  </si>
  <si>
    <r>
      <t xml:space="preserve">Γενική νάρκωση </t>
    </r>
    <r>
      <rPr>
        <b/>
        <sz val="12"/>
        <rFont val="Trebuchet MS"/>
        <family val="2"/>
        <charset val="161"/>
      </rPr>
      <t>(X684663)</t>
    </r>
  </si>
  <si>
    <t>Ουρητηροστομία</t>
  </si>
  <si>
    <t>Πεϊκός υποσπαδίας</t>
  </si>
  <si>
    <t>Υ08Χ</t>
  </si>
  <si>
    <t>145'/180'</t>
  </si>
  <si>
    <t>Περιλαμβάνει έως 6 ράμματα</t>
  </si>
  <si>
    <t>Περιτομή /Φίμωση</t>
  </si>
  <si>
    <t>Β05Α</t>
  </si>
  <si>
    <t>Μέθη ή γενική αναισθ.</t>
  </si>
  <si>
    <t>Περιτομή/ Φίμωση</t>
  </si>
  <si>
    <t>Τοπική αναισθ.</t>
  </si>
  <si>
    <t>Πλαστική προσθίας ουρήθρας</t>
  </si>
  <si>
    <t xml:space="preserve">Πλαστική Σηραγγωδών σωμάτων-NESBIT </t>
  </si>
  <si>
    <t>Πλαστική στομίου Ουρήθρας</t>
  </si>
  <si>
    <t>40'/45'</t>
  </si>
  <si>
    <t xml:space="preserve">Πυελολιθοτομή με ενδοσκόπιο </t>
  </si>
  <si>
    <t>Ριζική Κυστεκτομή επί καρκίνου κύστεως με πυελική λεμφαδενεκτομή</t>
  </si>
  <si>
    <t>Υ03ΜΒ</t>
  </si>
  <si>
    <t>250'</t>
  </si>
  <si>
    <t xml:space="preserve">Ριζική προστατεκτομή </t>
  </si>
  <si>
    <t>Υλικά + βιοψίες</t>
  </si>
  <si>
    <t>Στένωση ουρήθρας (οπτική ουρηθροτομή)</t>
  </si>
  <si>
    <t>Υ26Α</t>
  </si>
  <si>
    <t>(Χ680399)</t>
  </si>
  <si>
    <t>Συστροφή Όρχεος/Ορχεοπηξία</t>
  </si>
  <si>
    <t>Τεχνητός σφιγκτήρας για ακράτεια ούρων</t>
  </si>
  <si>
    <t>Τοποθέτηση pig-tail</t>
  </si>
  <si>
    <t>Υ30Α</t>
  </si>
  <si>
    <t>Γενική νάρκωση</t>
  </si>
  <si>
    <t>Τοποθέτηση ταινίας ακράτειας (στήριξη αυχένος ουροδόχου κύστεως)</t>
  </si>
  <si>
    <t>Περιλαμβάνει έως 4 ράμματα</t>
  </si>
  <si>
    <t>Χ694535/ Περιλαμβάνει έως 4 ράμματα</t>
  </si>
  <si>
    <t>Λαπαροσκοπικά (Χ683943)</t>
  </si>
  <si>
    <t>Υδροκήλη</t>
  </si>
  <si>
    <t xml:space="preserve">Υπερηβική Προστατεκτομή </t>
  </si>
  <si>
    <r>
      <rPr>
        <u/>
        <sz val="12"/>
        <color theme="1"/>
        <rFont val="Trebuchet MS"/>
        <family val="2"/>
        <charset val="161"/>
      </rPr>
      <t>ΗΜΕΡΕΣ ΝΟΣΗΛΕΙΑΣ</t>
    </r>
    <r>
      <rPr>
        <sz val="12"/>
        <color theme="1"/>
        <rFont val="Trebuchet MS"/>
        <family val="2"/>
        <charset val="161"/>
      </rPr>
      <t>: Σύμφωνα με την ιστορικότητα των επεμβάσεων προσδιορίζεται ο μέγιστος χρόνος νοσηλείας σε ημέρες. Ημέρα νοσηλείας προσμετράται σε κάθε διανυκτέρευση, δηλαδή ενεργή νοσηλεία κατόπιν της 00.00 πμ. ΜΕΘ/ΜΑΠ: Κατά τη διάρκεια της νοσηλείας προσδιορίζεται ο μέγιστος χρόνος παραμονής σε Κλίνη της Μονάδας Εντατικής Θεραπείας (ΜΕΘ), ή σε κλίνη Μονάδας αυξημένης προστασίας (ΜΑΠ).</t>
    </r>
  </si>
  <si>
    <t>ΧΕΙΡΟΥΡΓΙΚΟΣ ΧΡΟΝΟΣ (ΛΕΠΤΑ)</t>
  </si>
  <si>
    <t>ΙΔΙΩΤΗΣ ΜΕ ΦΠΑ</t>
  </si>
  <si>
    <t>ΕΟΠΥΥ ΜΕ ΦΠΑ</t>
  </si>
  <si>
    <t>ΚΑΤΑΡΡΑΚΤΗΣ</t>
  </si>
  <si>
    <t>Ο16Α</t>
  </si>
  <si>
    <t>ΕΩΣ 30</t>
  </si>
  <si>
    <t>ΕΝΔΟΦΑΚΟΣ</t>
  </si>
  <si>
    <t>ΚΑΤΑΡΡΑΚΤΗΣ ΑΜΦΩ</t>
  </si>
  <si>
    <t>ΕΩΣ 60</t>
  </si>
  <si>
    <t>ΥΑΛΟΕΙΔΕΚΤΟΜΗ</t>
  </si>
  <si>
    <t>Ο03Α</t>
  </si>
  <si>
    <t>ΕΩΣ 90</t>
  </si>
  <si>
    <t>ΕΙΔΙΚΑ ΥΛΙΚΑ</t>
  </si>
  <si>
    <t>ΓΛΑΥΚΩΜΑ</t>
  </si>
  <si>
    <t>Ο15Β</t>
  </si>
  <si>
    <t>ΒΛΕΦΑΡΟΠΛΑΣΤΙΚΗ</t>
  </si>
  <si>
    <t>ΙΔΙΩΤΙΚΑ</t>
  </si>
  <si>
    <t>ΜΕΤΑΜΟΣΧΕΥΣΗ ΚΕΡΑΤΟΕΙΔΟΥΣ</t>
  </si>
  <si>
    <t>Ο17Α</t>
  </si>
  <si>
    <t>ΜΟΣΧΕΥΜΑ</t>
  </si>
  <si>
    <t>ΑΣΚΟΡΙΝΟΣΤΟΜΙΑ</t>
  </si>
  <si>
    <t>Ο05Α</t>
  </si>
  <si>
    <t>650 για νοσηλεία σε τρίκλινο(800 για νοσηλεία σε δίκλινο)</t>
  </si>
  <si>
    <t>ΧΑΛΑΖΙΟ</t>
  </si>
  <si>
    <t>ΕΠΙΣΚΕΨΗ Ε.Ι.</t>
  </si>
  <si>
    <t>ΠΤΕΡΥΓΙΟ</t>
  </si>
  <si>
    <t>ΕΝΔΟΫΑΛΟΕΙΔΙΚΗ</t>
  </si>
  <si>
    <t>ΕΠΙΣΚΕΨΗ Ε.Ι</t>
  </si>
  <si>
    <t>AVASTIN 40€</t>
  </si>
  <si>
    <t>(LUCENTIS/EYLEA ΤΟ ΦΑΡΜΑΚΟ ΠΡΟΣΚΟΜΙΖΕΙ Ο ΑΣΘΕΝΗΣ)</t>
  </si>
  <si>
    <t xml:space="preserve"> ΧΡΕΩΣΗ ΕΠΙΠΛΕΟΝ ΧΕΙΡΟΥΡΓΙΚΟΥ ΧΡΟΝΟΥ  50€ ΑΝΑ 30'</t>
  </si>
  <si>
    <t>ΗΜΕΡΟΜΗΝΙΑ ΕΦΑΡΜΟΓΗΣ 01/05/2024</t>
  </si>
  <si>
    <t>A/A</t>
  </si>
  <si>
    <t>REF</t>
  </si>
  <si>
    <t>Περιγραφή</t>
  </si>
  <si>
    <t>ΤΕΛΙΚΗ ΤΙΜΗ ΠΩΛΗΣΗΣ ΜΕ 24% ΦΠΑ</t>
  </si>
  <si>
    <t>Συνήθης Προμηθευτής</t>
  </si>
  <si>
    <t xml:space="preserve">EXTRA ΥΛΙΚΑ ΠΕΡΑΝ ΤΟΥ ΠΑΚΕΤΟΥ </t>
  </si>
  <si>
    <t xml:space="preserve">ΤΕΛΙΚΗ ΤΙΜΗ </t>
  </si>
  <si>
    <t>MX60Pxxxx</t>
  </si>
  <si>
    <r>
      <t xml:space="preserve">ΥΔΡΟΦΟΒΟΣ ΕΝΔΟΦΑΚΟΣ ENVISTA MX60P +00.00 </t>
    </r>
    <r>
      <rPr>
        <b/>
        <sz val="12"/>
        <color rgb="FF0070C0"/>
        <rFont val="Aptos Narrow"/>
        <family val="2"/>
        <charset val="161"/>
        <scheme val="minor"/>
      </rPr>
      <t>BAUSCH AND LOMB</t>
    </r>
  </si>
  <si>
    <t>ΑΝΑΣΤΑΣΙΟΣ ΜΑΥΡΟΓΕΝΗΣ ΙΑΤΡΟΤΕΧΝΟΛΟΓΙΚΑ ΕΙΔΗ Α.Ε.</t>
  </si>
  <si>
    <t>ΚΑΣΣΕΤΑ ΥΑΛΟΕΙΔΕΚΤΟΜΗΣ: BL5423WVX</t>
  </si>
  <si>
    <t>ADAPTAOPxxxx</t>
  </si>
  <si>
    <r>
      <t xml:space="preserve">ΥΔΡΟΦΙΛΟΣ ΕΝΔΟΦΑΚΟΣ ADAPT- AOP </t>
    </r>
    <r>
      <rPr>
        <b/>
        <sz val="12"/>
        <color rgb="FF0070C0"/>
        <rFont val="Aptos Narrow"/>
        <family val="2"/>
        <charset val="161"/>
        <scheme val="minor"/>
      </rPr>
      <t>BAUSCH AND LOMB</t>
    </r>
  </si>
  <si>
    <t>6280950N ΑΕΡΙΟ SF6- ΣΥΡΙΓΓΑ</t>
  </si>
  <si>
    <t>MXExxxx</t>
  </si>
  <si>
    <r>
      <t xml:space="preserve">ΥΔΡΟΦΟΒΟΣ ΑΚΡΥΛΙΚΟΣ ΕΝΔΟΦΑΚΟΣ MX60E </t>
    </r>
    <r>
      <rPr>
        <b/>
        <sz val="12"/>
        <color rgb="FF0070C0"/>
        <rFont val="Aptos Narrow"/>
        <family val="2"/>
        <charset val="161"/>
        <scheme val="minor"/>
      </rPr>
      <t>BAUSCH AND LOMB</t>
    </r>
  </si>
  <si>
    <t>ΑΕΡΙΟ SF6 OPHTHAFUTUR 50ml</t>
  </si>
  <si>
    <t>MXET200xxx</t>
  </si>
  <si>
    <r>
      <t xml:space="preserve">ENVISTA MXET200 ΥΔΡΟΦΟΒΟΣ ΑΚΡΥΛΙΚΟΣ </t>
    </r>
    <r>
      <rPr>
        <b/>
        <sz val="12"/>
        <color theme="1"/>
        <rFont val="Aptos Narrow"/>
        <family val="2"/>
        <charset val="161"/>
        <scheme val="minor"/>
      </rPr>
      <t>ΤΟΡΙΚΟΣ</t>
    </r>
    <r>
      <rPr>
        <sz val="12"/>
        <color theme="1"/>
        <rFont val="Aptos Narrow"/>
        <family val="2"/>
        <charset val="161"/>
        <scheme val="minor"/>
      </rPr>
      <t xml:space="preserve"> </t>
    </r>
    <r>
      <rPr>
        <b/>
        <sz val="12"/>
        <color rgb="FF0070C0"/>
        <rFont val="Aptos Narrow"/>
        <family val="2"/>
        <charset val="161"/>
        <scheme val="minor"/>
      </rPr>
      <t>BAUSCH AND LOMB</t>
    </r>
  </si>
  <si>
    <t>ΣΙΛΙΚΟΝΗ: VRL500</t>
  </si>
  <si>
    <t>SA60ATxxx</t>
  </si>
  <si>
    <t xml:space="preserve">ACRYSOF SP FOLDABLE </t>
  </si>
  <si>
    <t>ALCON HELLAS AEBE</t>
  </si>
  <si>
    <t>ΣΥΣΚΕΥΗ ΣΙΛΙΚΟΝΗΣ: BL7600</t>
  </si>
  <si>
    <t>SN60WF</t>
  </si>
  <si>
    <t>SN60WF.xxx ACRYSOF SP NATURAL IQ</t>
  </si>
  <si>
    <t>LASER: BL5293C</t>
  </si>
  <si>
    <t>SN6AT2-T9.XXX</t>
  </si>
  <si>
    <r>
      <t xml:space="preserve">ACRYSOF </t>
    </r>
    <r>
      <rPr>
        <b/>
        <sz val="12"/>
        <color theme="1"/>
        <rFont val="Aptos Narrow"/>
        <family val="2"/>
        <charset val="161"/>
        <scheme val="minor"/>
      </rPr>
      <t>TORIC</t>
    </r>
    <r>
      <rPr>
        <sz val="12"/>
        <color theme="1"/>
        <rFont val="Aptos Narrow"/>
        <family val="2"/>
        <charset val="161"/>
        <scheme val="minor"/>
      </rPr>
      <t xml:space="preserve"> IQ</t>
    </r>
  </si>
  <si>
    <t>ΛΑΒΙΔΑ: 650235-12</t>
  </si>
  <si>
    <t>CNA0T0.xxxx</t>
  </si>
  <si>
    <t>CNA0T0. AUTONOME W/SY60WF</t>
  </si>
  <si>
    <t>SUI12-12</t>
  </si>
  <si>
    <t>MTA3U0.xxx</t>
  </si>
  <si>
    <t xml:space="preserve">MTA3U0. PMMA SP 5.5 OPTIC LENGTH </t>
  </si>
  <si>
    <t>ΧΡΩΣΤΙΚΗ: BRILIANT 62810151</t>
  </si>
  <si>
    <t>MA60AC.xxx</t>
  </si>
  <si>
    <t>MA60AC. ACRYSOF MP FOLDABLE 6.0 OPTIC</t>
  </si>
  <si>
    <t>ΒΑΡΥ ΥΓΡΟ: 500504</t>
  </si>
  <si>
    <t>MA60MA</t>
  </si>
  <si>
    <t>ACRYSOF MP FOLDABLE  OPTIC</t>
  </si>
  <si>
    <t>ΦΑΚΟΣ CARLEVALE- ΕΤΑΙΡΕΙΑ ΜΑΡΖΑΒΑΣ</t>
  </si>
  <si>
    <t>DFT015.XXX</t>
  </si>
  <si>
    <t>AcrySof™ IQ Vivity™</t>
  </si>
  <si>
    <t>ΦΑΚΟΣ ARTISAN -ΕΤΑΙΡΕΙΑ SYSTEM VISION</t>
  </si>
  <si>
    <t>DFT215-615.XXX</t>
  </si>
  <si>
    <t>AcrySof™ IQ Vivity™ Toric</t>
  </si>
  <si>
    <t>TFNT00.XXX</t>
  </si>
  <si>
    <t>TFNT00.xxx AS IQ PANOPTIX NAT</t>
  </si>
  <si>
    <t>TFNT20-60.XXX</t>
  </si>
  <si>
    <t>TFNT20.xxx PANOPTIX TORIC</t>
  </si>
  <si>
    <t xml:space="preserve">ΥΛΙΚΑ ΕΝΤΟΣ ΤΟΥ ΠΑΚΕΤΟΥ </t>
  </si>
  <si>
    <t>OCCUCOAT: CC100SL</t>
  </si>
  <si>
    <t>ΜΑΧΑΙΡΙΔΙΟ ALCON 8065921501</t>
  </si>
  <si>
    <t>04-70-xxx</t>
  </si>
  <si>
    <t xml:space="preserve">LUCIDIS 108M </t>
  </si>
  <si>
    <t>Δ.ΤΣΙΜΠΙΔΑΡΟΣ &amp; ΣΙΑ ΕΕ</t>
  </si>
  <si>
    <t>ΜΑΧΑΙΡΙΔΙΟ ALCON 8065992745</t>
  </si>
  <si>
    <t xml:space="preserve">LUCIDIS 124M </t>
  </si>
  <si>
    <t>ΜΑΧΑΙΡΙΔΙΟ ALCON 8065990002</t>
  </si>
  <si>
    <t>04-71-xxx</t>
  </si>
  <si>
    <t>LUCIDIS 108MΤ</t>
  </si>
  <si>
    <t>ΡΑΜΜΑ 10-0 NYLON 8065193001</t>
  </si>
  <si>
    <t>LUCIDIS 124MΤ</t>
  </si>
  <si>
    <t>ΡΑΜΜΑ 9-0 NYLON 8065193101</t>
  </si>
  <si>
    <t>TECNIS 1-PIECE  PCB00</t>
  </si>
  <si>
    <t>AMVIS ΕΛΛΑΣ Α.Ε.</t>
  </si>
  <si>
    <t>MERSILK 7-0 W817- JONHSON</t>
  </si>
  <si>
    <t xml:space="preserve">601050P </t>
  </si>
  <si>
    <t>TECNIS EYHANCE  ICB00 (PRELOADED DIB00)</t>
  </si>
  <si>
    <t>VICRYL W9565 JONHSON</t>
  </si>
  <si>
    <t xml:space="preserve">601050Τ </t>
  </si>
  <si>
    <r>
      <t xml:space="preserve">TECNIS EYHANCE  DIU100-DIU525 </t>
    </r>
    <r>
      <rPr>
        <b/>
        <sz val="12"/>
        <color theme="1"/>
        <rFont val="Aptos Narrow"/>
        <family val="2"/>
        <charset val="161"/>
        <scheme val="minor"/>
      </rPr>
      <t>TORIC</t>
    </r>
  </si>
  <si>
    <t>ΚΑΣΣΕΤΑ ΚΑΤΑΡΡΑΚΤΗ BL5111</t>
  </si>
  <si>
    <t>ΕΝΔΟΦ.TECNIS SYMFONY</t>
  </si>
  <si>
    <t>ΕΝΔΟΦ.3 ΤΕΜΑΧΙΩΝ CT LUCIA 202</t>
  </si>
  <si>
    <t>13/VIVINEX XC1</t>
  </si>
  <si>
    <t xml:space="preserve"> HOYA ISERT VIVINEX, XC1, POWER  </t>
  </si>
  <si>
    <t>ΟΜΜΑΛΑΙΤ</t>
  </si>
  <si>
    <t>13/VIVINEX TORIC XY1A-SP</t>
  </si>
  <si>
    <t xml:space="preserve">HOYA  VIVINEX TORIC, XY1A-SP, CYL T2-T9 POWER </t>
  </si>
  <si>
    <t>Ενδοφθαλμιος φακός ασφαιρικος , υδρόφοβος με σχήμα ‘’C-Loop’’</t>
  </si>
  <si>
    <t>MARZAVAS</t>
  </si>
  <si>
    <t>ΠΛΑΣΤΙΚΗ ΧΕΙΡΟΥΡΓΙΚΗ</t>
  </si>
  <si>
    <t>ΜΕΓΙΣΤΟ ΚΟΣΤΟΣ ΡΑΜΜΑΤΩΝ</t>
  </si>
  <si>
    <t>LIFTING</t>
  </si>
  <si>
    <t>ΑΙΔΟΙΟΠΛΑΣΤΙΚΗ</t>
  </si>
  <si>
    <t>ΑΥΞΗΤΙΚΗ ΜΑΣΤΩΝ</t>
  </si>
  <si>
    <t>ΒΛΕΦΑΡΟΠΛΑΣΤΙΚΗ νευροληπτο **</t>
  </si>
  <si>
    <t>ΚΟΙΛΙΟΠΛΑΣΤΙΚΗ</t>
  </si>
  <si>
    <t>ΛΙΠΟΑΝΑΡΡΟΦΗΣΗ</t>
  </si>
  <si>
    <t>ΛΙΠΟΑΝΑΡΡΟΦΗΣΗ ΜΕ ΤΟΠΙΚΗ</t>
  </si>
  <si>
    <t>ΜΕΙΩΤΙΚΗ ΜΑΣΤΩΝ αμφω</t>
  </si>
  <si>
    <t>ΜΕΙΩΤΙΚΗ ΜΑΣΤΩΝ ΚΑΙ ΑΝΟΡΘΩΣΗ ΣΤΗΘΟΥΣ αμφω</t>
  </si>
  <si>
    <t>ΡΙΝΟΠΛΑΣΤΙΚΗ *</t>
  </si>
  <si>
    <t>ΑΦΕΣΤΩΤΑ ΩΤΑ</t>
  </si>
  <si>
    <t>ΚΑΘΕ ΕΠΙΠΛΕΟΝ ΩΡΑ</t>
  </si>
  <si>
    <t xml:space="preserve">ΜΙΚΡΕΣ ΕΠΕΜΒΑΣΕΙΣ ΜΕ ΤΟΠΙΚΗ </t>
  </si>
  <si>
    <r>
      <rPr>
        <b/>
        <u/>
        <sz val="12"/>
        <color theme="1"/>
        <rFont val="Trebuchet MS"/>
        <family val="2"/>
        <charset val="161"/>
      </rPr>
      <t>ΠΕΡΙΓΡΑΦΗ ΠΡΑΞΗΣ</t>
    </r>
    <r>
      <rPr>
        <b/>
        <sz val="12"/>
        <color theme="1"/>
        <rFont val="Trebuchet MS"/>
        <family val="2"/>
        <charset val="161"/>
      </rPr>
      <t>: Ο τίτλος της πράξης προσδιορίζεται από τον Θεράποντα ιατρό και δηλώνεται εμπρόθεσμα στο τμήμα κίνησης ασθενών Δημόσιων Φορέων και Ιδιωτών. Επιβεβαιώνεται με το πέρας της από τη νοσηλευτική υπηρεσία του Χειρουργείου, η οποία επεμβαίνει προς το τμήμα κίνησης (ηλεκτρονική αλληλογραφία) μόνο σε περίπτωση διαφοροποίησης του τίτλου της πράξης εκ του αρχικού προσδιορισμού.</t>
    </r>
  </si>
  <si>
    <t>1. Οι προσφερόμενες τιμές περιλαμβάνουν:                       α. Κόστος Προεγχειρητικού έλεγχου (Γενική Αίματος, INR,ΗΚΓ Φάρμακα Νάρκωσης), β.απαράιτητα υλικά και φάρμακα για την πραγματοποίηση της επέμβασης και την ολοκλήρωση της νοσηλείας (όπως αυτά ορίζονται από την κλινική)</t>
  </si>
  <si>
    <r>
      <rPr>
        <b/>
        <u/>
        <sz val="12"/>
        <color theme="1"/>
        <rFont val="Trebuchet MS"/>
        <family val="2"/>
        <charset val="161"/>
      </rPr>
      <t>ΜΕΓΙΣΤΗ ΔΙΑΡΚΕΙΑ Χ/ΓΕΙΟΥ (ώρες)</t>
    </r>
    <r>
      <rPr>
        <b/>
        <sz val="12"/>
        <color theme="1"/>
        <rFont val="Trebuchet MS"/>
        <family val="2"/>
        <charset val="161"/>
      </rPr>
      <t>: Ο χρόνος του χειρουργείου δηλώνεται με ευθύνη της νοσηλευτικής υπηρεσίας στο τμήμα κίνησης ασθενών Δημόσιων Φορέων και Ιδιωτών μετά το πέρας της πράξης. Η διάρκεια ορίζεται ως η χρονική μεταβολή από τη στιγμή εισόδου στη χειρουργική αίθουσα έως την έξοδο από αυτή.</t>
    </r>
  </si>
  <si>
    <t>2. Οποιαδήποτε παραμονή σε θάλαμο νοσηλείας χρεώνεται με την αντίστοιχη τιμή του τιμοκαταλόγου ανεξαρτήτως διανυκτέρευσης</t>
  </si>
  <si>
    <r>
      <rPr>
        <b/>
        <u/>
        <sz val="12"/>
        <color theme="1"/>
        <rFont val="Trebuchet MS"/>
        <family val="2"/>
        <charset val="161"/>
      </rPr>
      <t xml:space="preserve">ODC: </t>
    </r>
    <r>
      <rPr>
        <b/>
        <sz val="12"/>
        <color theme="1"/>
        <rFont val="Trebuchet MS"/>
        <family val="2"/>
        <charset val="161"/>
      </rPr>
      <t>Παραμονή στις κλίνες ODC στο ισόγειο και χρήση χειρουργείων ισογείου (επίπεδο 0)</t>
    </r>
  </si>
  <si>
    <t>3. ΡΙΝΟΠΛΑΣΤΙΚΗ *: Σε περίπτωση χρήσης του ΚΕΝ Ω10Α το περιστατικό νοσηλεύεται σε ΒΑ ή ανώτερη θέση και η τιμή προ ΦΠΑ υπόκειται σε έκπτωση 15%</t>
  </si>
  <si>
    <r>
      <rPr>
        <b/>
        <u/>
        <sz val="12"/>
        <color theme="1"/>
        <rFont val="Trebuchet MS"/>
        <family val="2"/>
        <charset val="161"/>
      </rPr>
      <t>ΒΒ</t>
    </r>
    <r>
      <rPr>
        <b/>
        <sz val="12"/>
        <color theme="1"/>
        <rFont val="Trebuchet MS"/>
        <family val="2"/>
        <charset val="161"/>
      </rPr>
      <t xml:space="preserve">: Θάλαμος νοσηλείας 3 κλινών.                    </t>
    </r>
    <r>
      <rPr>
        <b/>
        <u/>
        <sz val="12"/>
        <color theme="1"/>
        <rFont val="Trebuchet MS"/>
        <family val="2"/>
        <charset val="161"/>
      </rPr>
      <t>ΒΑ</t>
    </r>
    <r>
      <rPr>
        <b/>
        <sz val="12"/>
        <color theme="1"/>
        <rFont val="Trebuchet MS"/>
        <family val="2"/>
        <charset val="161"/>
      </rPr>
      <t xml:space="preserve">: Θάλαμος νοσηλείας 2 κλινών.                       </t>
    </r>
    <r>
      <rPr>
        <b/>
        <u/>
        <sz val="12"/>
        <color theme="1"/>
        <rFont val="Trebuchet MS"/>
        <family val="2"/>
        <charset val="161"/>
      </rPr>
      <t>Α</t>
    </r>
    <r>
      <rPr>
        <b/>
        <sz val="12"/>
        <color theme="1"/>
        <rFont val="Trebuchet MS"/>
        <family val="2"/>
        <charset val="161"/>
      </rPr>
      <t>:   Θάλαμος νοσηλείας 1 κλίνης.   (Τιμοκατάλογος αναφοράς): Ο προτεινόμενος τιμοκατάλογος.</t>
    </r>
  </si>
  <si>
    <r>
      <rPr>
        <b/>
        <u/>
        <sz val="12"/>
        <color theme="1"/>
        <rFont val="Trebuchet MS"/>
        <family val="2"/>
        <charset val="161"/>
      </rPr>
      <t>ΜΕΓΙΣΤΟ ΚΟΣΤΟΣ ΡΑΜΜΑΤΩΝ</t>
    </r>
    <r>
      <rPr>
        <b/>
        <sz val="12"/>
        <color theme="1"/>
        <rFont val="Trebuchet MS"/>
        <family val="2"/>
        <charset val="161"/>
      </rPr>
      <t>: Σύμφωνα με τις επικαιροποιημένες τιμές προμήθειας των ραμμάτων καθώς και τις ανάγκες χρήσης του είδους και του αριθμού τους ανά επέμβαση προσδιορίζεται το μέγιστο κόστος χρήσης τους από τον θεράποντα ιατρό που συμπεριαλμβάνεται στον ισχύοντα τιμοκατάλογο. Οποιοδήποτε υπερβάλλον κόστος ραμμάτων επιβαρύνει τον ισχύοντα τιμοκατάλογο. Τα υπερβάλλοντα κόστη ανά περιστατικό ελέγχονται από την νοσηλευτική υπηρεσία και δηλώνονται εγκαίρως (ηλεκτρονική αλληλογραφία) στο τμήμα κίνησης ασθενών Δημόσιων Φορέων και Ιδιωτών.</t>
    </r>
  </si>
  <si>
    <t xml:space="preserve">4. Ο προτεινόμενος τιμοκατάλογος αφορά νοσηλεία σε ΒΑ θέση. </t>
  </si>
  <si>
    <r>
      <rPr>
        <b/>
        <u/>
        <sz val="12"/>
        <color theme="1"/>
        <rFont val="Trebuchet MS"/>
        <family val="2"/>
        <charset val="161"/>
      </rPr>
      <t>ΜΙΚΡΕΣ ΕΠΕΜΒΑΣΕΙΣ ΜΕ ΤΟΠΙΚΗ:</t>
    </r>
    <r>
      <rPr>
        <b/>
        <sz val="12"/>
        <color theme="1"/>
        <rFont val="Trebuchet MS"/>
        <family val="2"/>
        <charset val="161"/>
      </rPr>
      <t xml:space="preserve"> Επεμβάσεις που δεν προσδιορίζονται στον τιμοκατάλογο και πραγματοποιούνται στο ισόγειο (επίπεδο 0) με τοπική αναισθησία.</t>
    </r>
  </si>
  <si>
    <r>
      <rPr>
        <b/>
        <u/>
        <sz val="12"/>
        <color theme="1"/>
        <rFont val="Trebuchet MS"/>
        <family val="2"/>
        <charset val="161"/>
      </rPr>
      <t>ΕΙΔΙΚΑ ΥΛΙΚΑ</t>
    </r>
    <r>
      <rPr>
        <b/>
        <sz val="12"/>
        <color theme="1"/>
        <rFont val="Trebuchet MS"/>
        <family val="2"/>
        <charset val="161"/>
      </rPr>
      <t>: προσδιορίζεται το κόστος οποιουδήποτε υλικού ή φαρμάκου πέρα των απαραίτητων  αναλώσιμων, υγειονομικών υλικών και φαρμάκων αναισθησίας αντίστοιχα . Ο προσδιορισμός γίνεται κατά περίπτωση και ο θεράπων ιατρός ενημερώνεται σχετικά από στελέχη του Τομέα Κίνησης και υποβολών</t>
    </r>
  </si>
  <si>
    <t>ΧΕΙΡΟΥΡΓΙΚΟΣ ΧΡΟΝΟΣ ΣΕ ΛΕΠΤΑ</t>
  </si>
  <si>
    <t>ΑΜΟΙΒΗ ΑΝΑΙΣΘΗΣΙΟΛΟΓΟΥ</t>
  </si>
  <si>
    <t xml:space="preserve">ΠΑΡΑΤΗΡΗΣΕΙΣ - ΠΑΡΑΔΟΧΕΣ </t>
  </si>
  <si>
    <t>ΕΥΚΑΜΠΤΗ ΒΡΟΓΧΟΣΚΟΠΗΣΗ ΑΠΛΗ (Χωρίς Παραμονή)</t>
  </si>
  <si>
    <t>Α12Α</t>
  </si>
  <si>
    <t xml:space="preserve">ΠΕΡΙΛΑΜΒΑΝΕΙ ΛΑΒΙΔΑ ΒΙΟΨΙΑΣ + 30€ ΚΟΣΤΟΣ ΙΣΤΟΛΟΓΙΚΩΝ </t>
  </si>
  <si>
    <t>ΕΥΚΑΜΠΤΗ ΒΡΟΓΧΟΣΚΟΠΗΣΗ ΑΠΛΗ (Με παραμονή)</t>
  </si>
  <si>
    <t>ΕΥΚΑΜΠΤΗ ΒΡΟΓΧΟΣΚΟΠΗΣΗ με BAL (Χωρίς Παραμονή)</t>
  </si>
  <si>
    <t>ΠΕΡΙΛΑΜΒΑΝΕΙ: ΗΚΓ - ΚΑΡΔΙΟΛΟΓΙΚΗ ΕΞΕΤΑΣΗ                       ΑΜΟΙΒΗ ΑΝΑΙΣΘΗΣΙΟΛΟΓΟΥ 100€ ΚΥΤΤΑΡΟΛΟΓΙΚΗ ΕΞΕΤΑΣΗ 150€            ΚΑΛΛΙΕΡΓΕΙΑ ΓΙΑ ΚΟΙΝΑ ΚΑΙ B Koch.</t>
  </si>
  <si>
    <t>ΕΥΚΑΜΠΤΗ ΒΡΟΓΧΟΣΚΟΠΗΣΗ με BAL (Με Παραμονή)</t>
  </si>
  <si>
    <t>ΕΥΚΑΜΠΤΗ ΒΡΟΓΧΟΣΚΟΠΗΣΗ + ΒΙΟΨΙΑ +/- ΚΥΤΤΑΡΟΛΟΓΙΚΗ (Χωρίς Παραμονή)</t>
  </si>
  <si>
    <r>
      <t xml:space="preserve">ΠΕΡΙΛΑΜΒΑΝΕΙ: ΗΚΓ - ΚΑΡΔΙΟΛΟΓΙΚΗ ΕΞΕΤΑΣΗ                       ΑΜΟΙΒΗ ΑΝΑΙΣΘΗΣΙΟΛΟΓΟΥ 150€ - ΑΝΟΣΟΙΣΤΟΧΗΜΕΙΑ (μικρο πακέτο) 150€ (σε περίπτωση που δεν γίνεται θα αφαιρούμε 150€ απο το πακέτο.)                                  ΙΣΤΟΛΟΓΙΚΕΣ (Μέχρι Τρείς). </t>
    </r>
    <r>
      <rPr>
        <b/>
        <u/>
        <sz val="11"/>
        <color theme="1"/>
        <rFont val="Trebuchet MS"/>
        <family val="2"/>
        <charset val="161"/>
      </rPr>
      <t xml:space="preserve">ΧΡΕΩΣΗ EXTRA ΚΥΤΤΑΡΟΛΟΓΙΚΗΣ 30€ η πρώτη και 20€ η κάθε επόμενη </t>
    </r>
  </si>
  <si>
    <t>ΕΥΚΑΜΠΤΗ ΒΡΟΓΧΟΣΚΟΠΗΣΗ + ΒΙΟΨΙΑ +/- ΚΥΤΤΑΡΟΛΟΓΙΚΗ (Με Παραμονή)</t>
  </si>
  <si>
    <r>
      <t xml:space="preserve">ΠΕΡΙΛΑΜΒΑΝΕΙ: ΗΚΓ - ΚΑΡΔΙΟΛΟΓΙΚΗ ΕΞΕΤΑΣΗ                       ΑΜΟΙΒΗ ΑΝΑΙΣΘΗΣΙΟΛΟΓΟΥ 150€ - ΑΝΟΣΟΙΣΤΟΧΗΜΕΙΑ (μικρο πακέτο) 150€                                   ΙΣΤΟΛΟΓΙΚΕΣ (Μέχρι Τρείς). </t>
    </r>
    <r>
      <rPr>
        <b/>
        <u/>
        <sz val="11"/>
        <color theme="1"/>
        <rFont val="Trebuchet MS"/>
        <family val="2"/>
        <charset val="161"/>
      </rPr>
      <t xml:space="preserve">ΧΡΕΩΣΗ EXTRA ΚΥΤΤΑΡΟΛΟΓΙΚΗΣ 30€ η πρώτη και 20€ η κάθε επόμενη </t>
    </r>
  </si>
  <si>
    <t>ΕΥΚΑΜΠΤΗ ΒΡΟΓΧΟΣΚΟΠΗΣΗ + ΚΥΤΤΑΡΟΛΟΓΙΚΗ + ΚΑΛΛΙΕΡΓΕΙΑ + B-KOCH (Χωρίς Παραμονή)</t>
  </si>
  <si>
    <t>ΠΕΡΙΛΑΜΒΑΝΕΙ: ΗΚΓ - ΚΑΡΔΙΟΛΟΓΙΚΗ ΕΞΕΤΑΣΗ, ΑΜΟΙΒΗ ΑΝΑΙΣΘΗΣΙΟΛΟΓΟΥ 150€, ΚΥΤΤΑΡΟΛΟΓΙΚΗ ΕΞΕΤΑΣΗ &amp; ΚΑΛΛΙΕΡΓΕΙΑ ΓΙΑ ΚΟΙΝΑ ΚΑΙ B Koch.ΙΣΤΟΛΟΓΙΚΕΣ (Μέχρι Τρείς).</t>
  </si>
  <si>
    <t>ΕΥΚΑΜΠΤΗ ΒΡΟΓΧΟΣΚΟΠΗΣΗ + ΚΥΤΤΑΡΟΛΟΓΙΚΗ + ΚΑΛΛΙΕΡΓΕΙΑ + B-KOCH (Με Παραμονή)</t>
  </si>
  <si>
    <t>ΠΕΡΙΛΑΜΒΑΝΕΙ: ΗΚΓ - ΚΑΡΔΙΟΛΟΓΙΚΗ ΕΞΕΤΑΣΗ                       ΑΜΟΙΒΗ ΑΝΑΙΣΘΗΣΙΟΛΟΓΟΥ 150€  ΚΥΤΤΑΡΟΛΟΓΙΚΗ ΕΞΕΤΑΣΗ             ΚΑΛΛΙΕΡΓΕΙΑ ΓΙΑ ΚΟΙΝΑ ΚΑΙ B Koch.ΙΣΤΟΛΟΓΙΚΕΣ (Μέχρι Τρείς).</t>
  </si>
  <si>
    <t>EBUS ΒΡΟΓΧΟΣΚΟΠΗΣΗ</t>
  </si>
  <si>
    <t>ΠΕΡΙΛΑΜΒΑΝΕΙ:                        ΑΜΟΙΒΗ ΑΝΑΙΣΘΗΣΙΟΛΟΓΟΥ 150€        ΠΛΗΡΗΣ ΠΡΟΕΓΧΕΙΡΗΤΙΚΟΣ ΕΛΕΓΧΟΣ,    ΒΙΟΨΙΕΣ ΕΩΣ 6 &amp; ΑΝΟΣΟΙΣΤΟΧΗΜΕΙΑ               ΧΡΗΣΗ ΤΟΥ RADIAL (όποτε χρειαστεί) ΠΕΡΙΛΑΜΒΑΝΕΙ ΥΛΙΚΑ ΤΕΛΙΚΗΣ ΑΞΙΑΣ ΕΩΣ 260€ (ΜΠΑΛΟΝΙ ΕΝΔΟΣΚΟΠΙΚΟΥ ΥΠΕΡΗΧΟΥ MAJ-1351 ΚΑΙ ΒΕΛΟΝΕΣ NA-201SX-4021) .Σε περίπτωση χρήσης C-ARM ΔΕΝ ΧΡΕΩΝΕΤΑΙ.</t>
  </si>
  <si>
    <t>ΑΚΑΜΠΤΗ ΒΡΟΓΧΟΣΚΟΠΗΣΗ + ΒΙΟΨΙΑ +/- ΚΥΤΤΑΡΟΛΟΓΙΚΗ (Πραγματοποιείται αποκλειστικά στο χειρουργείο)</t>
  </si>
  <si>
    <t>ΠΕΡΙΛΑΜΒΑΝΕΙ: ΑΜΟΙΒΗ ΑΝΑΙΣΘΗΣΙΟΛΟΓΟΥ 250€        ΠΛΗΡΗΣ ΠΡΟΕΓΧΕΙΡΗΤΙΚΟΣ ΕΛΕΓΧΟΣ ,  2 ΒΙΟΨΙΕΣ  &amp; ΑΝΟΣΟΙΣΤΟΧΗΜΕΙΑ - EXTRA ΕΙΔΙΚΑ ΥΛΙΚΑ</t>
  </si>
  <si>
    <t>ΕΥΚΑΜΠΤΗ ΒΡΟΓΧΟΣΚΟΠΗΣΗ υπο cone beam CT</t>
  </si>
  <si>
    <r>
      <t xml:space="preserve">ΠΕΡΙΛΑΜΒΑΝΕΙ:ΑΜΟΙΒΗ ΑΝΑΙΣΘΗΣΙΟΛΟΓΟΥ 250€ ,ΠΛΗΡΗΣ ΠΡΟΕΓΧΕΙΡΗΤΙΚΟΣ ΕΛΕΓΧΟΣ, </t>
    </r>
    <r>
      <rPr>
        <b/>
        <sz val="11"/>
        <color rgb="FFFF0000"/>
        <rFont val="Trebuchet MS"/>
        <family val="2"/>
        <charset val="161"/>
      </rPr>
      <t>6</t>
    </r>
    <r>
      <rPr>
        <b/>
        <sz val="11"/>
        <color rgb="FF000000"/>
        <rFont val="Trebuchet MS"/>
        <family val="2"/>
        <charset val="161"/>
      </rPr>
      <t xml:space="preserve">  ΒΙΟΨΙΕΣ &amp; ΑΝΟΣΟΙΣΤΟΧΗΜΕΙΑ </t>
    </r>
    <r>
      <rPr>
        <b/>
        <u/>
        <sz val="11"/>
        <color rgb="FF000000"/>
        <rFont val="Trebuchet MS"/>
        <family val="2"/>
        <charset val="161"/>
      </rPr>
      <t>ΠΕΡΙΛΑΜΒΑΝΕΙ ΥΛΙΚΑ ΤΕΛΙΚΗΣ ΑΞΙΑΣ ΕΩΣ 260€ (ΜΠΑΛΟΝΙ ΕΝΔΟΣΚΟΠΙΚΟΥ ΥΠΕΡΗΧΟΥ MAJ-1351 ΚΑΙ ΒΕΛΟΝΕΣ NA-201SX-4021)</t>
    </r>
  </si>
  <si>
    <t xml:space="preserve">Οι ανωτέρω τιμές αφορούν παραμονή σε 2ΚΛ δωμάτιο. Σε περίπτωση παραμονής σε 3ΚΛ δωμάτιο , φυσικά βάσει διαθεσιμότητας, το πακέτο θα μειώνεται κατά 150€. </t>
  </si>
  <si>
    <t>ΜΕΛΕΤΗ ΥΠΝΟΥ</t>
  </si>
  <si>
    <t xml:space="preserve"> ΠΕΡΙΛΑΜΒΑΝΕΙ 300€ ΑΜΟΙΒΕΣ ΤΑ ΥΠΟΛΟΙΠΑ ΚΛΙΝΙΚΗ</t>
  </si>
  <si>
    <t>ΤΙΜΟΚΑΤΑΛΟΓΟΣ ΧΟΛΗΦΟΡΩΝ</t>
  </si>
  <si>
    <t>ΕΟΠΥΥ
2026</t>
  </si>
  <si>
    <t>ERCP ΣΦΙΚΤΗΡΟΤΟΜΗ</t>
  </si>
  <si>
    <t>Η23Χ</t>
  </si>
  <si>
    <t>ERCP ΤΟΠΟΘΕΤΗΣΗ STENT</t>
  </si>
  <si>
    <t>ΔΙΑΔΕΡΜΙΚΗ ΔΙΗΠΑΤΙΚΗ ΠΑΡΟΧΕΥΤΕΥΣΗ ΧΟΛΗΦΟΡΩΝ  - Χ674979</t>
  </si>
  <si>
    <t>ΔΙΑΔΕΡΜΙΚΗ ΤΟΠΟΘΕΤΗΣΗ STENT ΧΟΛΗΦΟΡΩΝ - Χ674981</t>
  </si>
  <si>
    <t>H05X</t>
  </si>
  <si>
    <t>Τιμοκατάλογος Αναφοράς ΒΑ</t>
  </si>
  <si>
    <t>Κόστος της ώρας χειρουργείου, πέραν της προβλεπόμενης, ορίζεται στα 230€ με Φ.Π.Α.</t>
  </si>
  <si>
    <t>Οι προσφερόμενες τιμές περιλαμβάνουν:                                                                                    
α. Κόστος Προεγχειρητικού έλεγχου : Γενική Αίματος, INR, ΗΚΓ, Καρδιολογική εξέταση, Κάλιο, Νάτριο, Ουρία, Κρεατινίνη, Α/Α Θώρακος F ή F &amp; P.                                                            
β. Βασικά αναλώσιμα υλικά και συνήθη φάρμακα για την πραγματοποίηση της επέμβασης και την ολοκλήρωση της νοσηλείας (όπως αυτά ορίζονται από την κλινική).                                                                                                   
γ. Φ.Π.Α.</t>
  </si>
  <si>
    <t xml:space="preserve">                        ΤΙΜΟΚΑΤΑΛΟΓΟΣ ΕΠΕΜΒΑΣΕΩΝ ΣΠΟΝΔΥΛΙΚΗΣ ΣΤΗΛΗΣ ΔΩΜΑΤΙΟ ΔΙΚΛΙΝΟ</t>
  </si>
  <si>
    <t>ΚΩΔΙΚΟΣ Ι. Π.</t>
  </si>
  <si>
    <t>ΩΡΕΣ ΧΕΙΡΟΥΡΓΕΙΟΥ</t>
  </si>
  <si>
    <t>Αυχενική οπίσθια πεταλεκτομή για στένωση</t>
  </si>
  <si>
    <t>Μ10ΧΔ</t>
  </si>
  <si>
    <t>Χ705909</t>
  </si>
  <si>
    <t>Αυχενική οπισθια σπονδυλοδεσια με βιδες ογκωματων</t>
  </si>
  <si>
    <t>Μ09Χ</t>
  </si>
  <si>
    <t>Αυχενικη πεταλεκτομη και οπισθια σπονδυλοδεσια με βιδες ογκωματων</t>
  </si>
  <si>
    <t>Αυχενική πρόσθια δισκεκτομη και cage 1 επιπεδο</t>
  </si>
  <si>
    <t>Μ09ΧΒ</t>
  </si>
  <si>
    <t>Χ706111</t>
  </si>
  <si>
    <t>Αυχενική πρόσθια δισκεκτομη και cage 2 επιπεδα</t>
  </si>
  <si>
    <t>Αυχενική πρόσθια δισκεκτομη και cage 3 επιπεδα</t>
  </si>
  <si>
    <t>Αυχενικη προσθια δισκεκτομη και τεχνητος δισκος 1 επιπεδο</t>
  </si>
  <si>
    <t>Χ625671</t>
  </si>
  <si>
    <t>Αυχενικη προσθια δισκεκτομη και τεχνητος δισκος 2 επιπεδα</t>
  </si>
  <si>
    <t>Αυχενική πρόσθια σωματεκτομη &gt; 1 επίπεδα</t>
  </si>
  <si>
    <t>X706121</t>
  </si>
  <si>
    <t>Αυχενική πρόσθια σωματεκτομη 1 επίπεδο</t>
  </si>
  <si>
    <t>Χ706121</t>
  </si>
  <si>
    <t>Διαδερμική βιοψία επί σπονδυλικού σώματος</t>
  </si>
  <si>
    <t>Μ07Χ</t>
  </si>
  <si>
    <t>X704497</t>
  </si>
  <si>
    <t>Χ704497</t>
  </si>
  <si>
    <t>Διαδερμικη ηλεκτροθερμικη συρρικνωση δισκου</t>
  </si>
  <si>
    <t>X625011</t>
  </si>
  <si>
    <t>Διαδερμικη προσπέλαση δίσκου discogel</t>
  </si>
  <si>
    <t>X704543</t>
  </si>
  <si>
    <t xml:space="preserve">Διαδερμικη προσπέλαση δίσκου μηχανικη αφαιρεση πηκτοειδους </t>
  </si>
  <si>
    <t>X704533</t>
  </si>
  <si>
    <t>Δισκογραφια</t>
  </si>
  <si>
    <t>X704539</t>
  </si>
  <si>
    <t>Εξωμυελικος ενδοκαναλικος ογκος ΣΣ</t>
  </si>
  <si>
    <t>Ν03Χ</t>
  </si>
  <si>
    <t>Επεμβάσεις για ενδομυελικο όγκο Ν.Μ.</t>
  </si>
  <si>
    <t>Χ706529-33</t>
  </si>
  <si>
    <t>Επισκληριδιοσκοπηση</t>
  </si>
  <si>
    <t>Χ704487</t>
  </si>
  <si>
    <t>Ινιοαυχενικη σπονδυλοδεσια</t>
  </si>
  <si>
    <t>Μ06ΜΓ</t>
  </si>
  <si>
    <t>Χ625639</t>
  </si>
  <si>
    <t>Κυφοπλαστικη – σπονδυλοπλαστικη 1 επιπεδο</t>
  </si>
  <si>
    <t>X625005</t>
  </si>
  <si>
    <t>Κυφοπλαστικη – σπονδυλοπλαστικη 2 επιπεδα</t>
  </si>
  <si>
    <t>Κυφοπλαστικη – σπονδυλοπλαστικη 3 επιπεδα και ανω</t>
  </si>
  <si>
    <t>Μ09ΜΒ</t>
  </si>
  <si>
    <t>Μυελογραφια και CT</t>
  </si>
  <si>
    <t>Χ704527</t>
  </si>
  <si>
    <t>Οπίσθια σπονδυλοδεσια ανω των 3 επιπεδων εως και 6 επιπεδα</t>
  </si>
  <si>
    <t>Χ625643</t>
  </si>
  <si>
    <t>Οπισθια σπονδυλοδεσια ανω των 7 εως και 12 επιπεδα</t>
  </si>
  <si>
    <t>Μ06ΜΒ</t>
  </si>
  <si>
    <t>X625645</t>
  </si>
  <si>
    <t xml:space="preserve">Οπίσθια σπονδυλοδεσια 3 επιπεδα με βιδες </t>
  </si>
  <si>
    <t>Οπίσθια σπονδυλοδεσια 2 επιπεδα με βιδες</t>
  </si>
  <si>
    <t xml:space="preserve">Οπισθια σπονδυλοδεσια 1 επιπεδο με βιδες </t>
  </si>
  <si>
    <t>Οστεοσυνθεση Α1-Α2 κατα harms με βιδες</t>
  </si>
  <si>
    <t>Οσφυικη δισκεκτομη και μεσακανθιο συνδεσμο</t>
  </si>
  <si>
    <t>Οσφυϊκή δισκεκτομη-Μικροδισκεκτομή 1 επιπεδο</t>
  </si>
  <si>
    <t>Χ706073</t>
  </si>
  <si>
    <t>Οσφυϊκή δισκεκτομη-Μικροδισκεκτομή 2 επιπεδα</t>
  </si>
  <si>
    <t>Οσφυϊκή πεταλεκτομή για στένωση χωρις σπονδυλοδεσια</t>
  </si>
  <si>
    <t>Χ705969</t>
  </si>
  <si>
    <t>Προσθια Θ/Οσφυικη σπονδυλοδεσια  εως 6 επιπεδα με θωρακοτομη ή θωρακοσκοπηση</t>
  </si>
  <si>
    <t>Χ625649</t>
  </si>
  <si>
    <t>Συνδιασμενη προσθια και οπισθια προσπελαση &amp; Σπονδυλοδεσία ανω των 6 επιπεδων</t>
  </si>
  <si>
    <t>Συνδιασμενη προσθια και οπισθια προσπελαση εως 6 επιπεδα</t>
  </si>
  <si>
    <t>Στην μακρα παραμονη στην ΜΕΘ &amp; ΜΑΦ ειδικα υλικα χρεωνονται όπως καθετηρες καρδιακης παροχης κλπ. 
Φαρμακα που δεν καλυπτονται από τα ταμεια των ασθενων χρεωνονται</t>
  </si>
  <si>
    <t xml:space="preserve"> ΤΙΜΟΚΑΤΑΛΟΓΟΣ ΩΡΛ ΕΠΕΜΒΑΣΕΩΝ</t>
  </si>
  <si>
    <t>ΙΔΙΩΤΗΣ ΒΑ</t>
  </si>
  <si>
    <t>ΕΟΠΥΥ ΒΑ</t>
  </si>
  <si>
    <t>ΑΔΕΝΟΕΙΔΕΚΤΟΜΗ</t>
  </si>
  <si>
    <t>Ω11Α</t>
  </si>
  <si>
    <t xml:space="preserve">ΑΜΥΓΔΑΛΕΚΤΟΜΗ </t>
  </si>
  <si>
    <t>ΑΜΥΓΔΑΛΕΚΤΟΜΗ + ΑΔΕΝΟΕΙΔΕΚΤΟΜΗ</t>
  </si>
  <si>
    <t>ΑΜΥΓΔΑΛΕΚΤΟΜΗ+ΑΔΕΝΟΕΙΔΕΚΤΟΜΗ+ΣΩΛΗΝΙΣΚΟΙ</t>
  </si>
  <si>
    <t xml:space="preserve">ΑΝΑΤΡΗΣΗ ΙΓΜΟΡΕΙΟΥ ΚΑΤΆ CALWELL LUC </t>
  </si>
  <si>
    <t>Ω06Α</t>
  </si>
  <si>
    <t>ΑΠΟΚΑΤΑΣΤΑΣΗ ΡΙΝΙΚΟΥ ΔΙΑΦΡΑΓΜΑΤΟΣ</t>
  </si>
  <si>
    <t>Ω10Α</t>
  </si>
  <si>
    <t>ΑΦΑΙΡΕΣΗ ΟΓΚΙΔΙΟΥ ΓΛΩΣΣΑΣ</t>
  </si>
  <si>
    <t>Ω14Α</t>
  </si>
  <si>
    <t>ΑΦΑΙΡΕΣΗ ΟΓΚΟΥ ΠΑΡΩΤΙΔΑΣ</t>
  </si>
  <si>
    <t>Ω05Α</t>
  </si>
  <si>
    <t>ΑΦΑΙΡΕΣΗ ΥΠΟΓΝΑΘΙΟΥ ΑΔΕΝΑ</t>
  </si>
  <si>
    <t>ΑΦΑΙΡΕΣΗ ΧΟΑΝΟΠΟΛΥΠΟΔΑ</t>
  </si>
  <si>
    <t xml:space="preserve">ΒΑΣΗ ΚΡΑΝΙΟΥ </t>
  </si>
  <si>
    <t>ΒΑΣΗ ΚΡΑΝΙΟΥ ΕΝΔΟΣΚΟΠΙΚΑ</t>
  </si>
  <si>
    <t>ΔΙΑΝΟΙΞΗ ΠΕΡΙΑΜΥΓΔΑΛΙΚΟΥ ΑΠΟΣΤΗΜΑΤΟΣ</t>
  </si>
  <si>
    <t>ΔΙΑΤΟΜΗ ΧΑΛΙΝΟΥ</t>
  </si>
  <si>
    <t>ΔΙΑΦΡΑΓΜΑ ΚΑΙ ΚΟΓΧΟΤΟΜΗ ΜΕ ΧΡΗΣΗ RF</t>
  </si>
  <si>
    <t>ΔΙΑΦΡΑΓΜΑ ΚΑΙ ΚΟΓΧΟΤΟΜΗ ΜΕ ΧΡΗΣΗ SHAVER</t>
  </si>
  <si>
    <t>ΕΜΦΥΤΕΥΜΑΤΑ ΥΠΕΡΩΑΣ</t>
  </si>
  <si>
    <t>Κόστος Υλικών πάνω από 480€</t>
  </si>
  <si>
    <r>
      <t>ΕΝΔΟΣΚΟΠΙΚΗ ΑΜΦΟΤΕΡΟΠΛΕΥΡΗ ΣΦΗΝΟΗΘΜΟΕΙΔΕΚΤΟΜΗ DRAF 1</t>
    </r>
    <r>
      <rPr>
        <b/>
        <sz val="12"/>
        <color rgb="FFFF0000"/>
        <rFont val="Trebuchet MS"/>
        <family val="2"/>
        <charset val="161"/>
      </rPr>
      <t xml:space="preserve"> FESS 2</t>
    </r>
  </si>
  <si>
    <r>
      <t>ΕΝΔΟΣΚΟΠΙΚΗ ΑΜΦΟΤΕΡΟΠΛΕΥΡΗ ΣΦΗΝΟΗΘΜΟΕΙΔΕΚΤΟΜΗ DRAF 2</t>
    </r>
    <r>
      <rPr>
        <b/>
        <sz val="12"/>
        <color rgb="FFFF0000"/>
        <rFont val="Trebuchet MS"/>
        <family val="2"/>
        <charset val="161"/>
      </rPr>
      <t xml:space="preserve"> FESS 3</t>
    </r>
  </si>
  <si>
    <t>ΕΝΔΟΣΚΟΠΙΚΗ ΑΠΟΚΑΤΑΣΤΑΣΗ ΡΙΝΟΡΟΙΑΣ ΕΝΥ</t>
  </si>
  <si>
    <t>ΕΝΔΟΣΚΟΠΙΚΗ ΑΠΟΣΥΜΠΙΕΣΗ ΟΦΘΑΛΜΙΚΟΥ ΚΟΓΧΟΥ</t>
  </si>
  <si>
    <t>ΕΝΔΟΣΚΟΠΙΚΗ ΑΣΚΟΡΙΝΟΣΤΟΜΙΑ 1 ΠΛΕΥΡΑ</t>
  </si>
  <si>
    <t>ΕΝΔΟΣΚΟΠΙΚΗ ΑΣΚΟΡΙΝΟΣΤΟΜΙΑ ΑΜΦΩ</t>
  </si>
  <si>
    <t>ΕΝΔΟΣΚΟΠΙΚΗ ΕΣΩ ΓΝΑΘΕΚΤΟΜΗ</t>
  </si>
  <si>
    <t>ΕΝΔΟΣΚΟΠΙΚΗ ΚΟΓΧΟΠΛΑΣΤΙΚΗ</t>
  </si>
  <si>
    <r>
      <t xml:space="preserve">ΕΝΔΟΣΚΟΠΙΚΗ ΟΛΙΚΗ ΔΙΑΝΟΙΞΗ ΜΕΤΩΠΙΑΙΟΥ ΣΦΗΝΟΗΘΜΟΕΙΔΕΚΤΟΜΗ DRAF 3 </t>
    </r>
    <r>
      <rPr>
        <b/>
        <sz val="12"/>
        <color rgb="FFFF0000"/>
        <rFont val="Trebuchet MS"/>
        <family val="2"/>
        <charset val="161"/>
      </rPr>
      <t>FESS 4</t>
    </r>
  </si>
  <si>
    <r>
      <t xml:space="preserve">ΕΝΔΟΣΚΟΠΙΚΗ ΡΙΝΟΑΝΤΡΟΣΤΟΜΙΑ ΜΕ Ή ΧΩΡΙΣ ΠΡΟΣΘΙΑ ΗΘΜΟΕΙΔΕΚΤΟΜΗ </t>
    </r>
    <r>
      <rPr>
        <b/>
        <sz val="12"/>
        <color rgb="FFFF0000"/>
        <rFont val="Trebuchet MS"/>
        <family val="2"/>
        <charset val="161"/>
      </rPr>
      <t>FESS 1</t>
    </r>
  </si>
  <si>
    <t>ΕΝΔΟΣΚΟΠΙΚΗ ΥΠΟΦΥΣΕΚΤΟΜΗ</t>
  </si>
  <si>
    <t xml:space="preserve"> Θ02Χ</t>
  </si>
  <si>
    <t>ΕΠΙΠΟΛΗΣ ΠΑΡΩΤΙΔΕΚΤΟΜΗ</t>
  </si>
  <si>
    <t>ΚΑΤΩ ΚΟΓΧΟΤΟΜΗ</t>
  </si>
  <si>
    <t>ΚΑΤΩ ΡΙΝΟΑΝΤΡΟΣΤΟΜΙΑ</t>
  </si>
  <si>
    <t>ΚΟΓΧΟΤΟΜΗ ΜΕ ΧΡΗΣΗ SHAVER</t>
  </si>
  <si>
    <t>ΚΟΓΧΟΤΟΜΗ/ΚΟΓΧΟΠΛΑΣΤΙΚΗ  ΜΕ ΧΡΗΣΗ RF</t>
  </si>
  <si>
    <t>ΛΑΡΥΓΓΕΚΤΟΜΗ (ΠΕΡΙΛΑΜΒΑΝΕΙ ΤΗΝ 1Η ΗΜΕΡΑ ΣΤΗΝ ΜΕΘ)</t>
  </si>
  <si>
    <t>ΛΕΜΦΑΔΕΝΙΚΟΣ ΚΑΘΑΡΙΣΜΟΣ ΤΡΑΧΗΛΟΥ</t>
  </si>
  <si>
    <t>ΜΑΣΤΟΕΙΔΕΚΤΟΜΗ</t>
  </si>
  <si>
    <t>Ω15Α</t>
  </si>
  <si>
    <t>ΜΙΚΡΟΛΑΡΥΓΓΟΣΚΟΠΗΣΗ</t>
  </si>
  <si>
    <t>ΑΥΘΗΜΕΡΟΝ</t>
  </si>
  <si>
    <t>ΟΛΙΚΗ ΠΑΡΩΤΙΔΕΚΤΟΜΗ ΜΕ ή ΧΩΡΙΣ  ΝΕΥΡΟΠΑΡΑΚ.</t>
  </si>
  <si>
    <t>ΟΣΤΑΡΙΟΠΛΑΣΤΙΚΗ</t>
  </si>
  <si>
    <t>ΠΑΡΑΚΕΝΤΗΣΗ ΚΑΙ ΠΛΥΣΗ ΙΓΜΟΡΕΙΩΝ</t>
  </si>
  <si>
    <t>ΠΑΡΑΚΕΝΤΗΣΗ ΚΑΙ ΠΛΥΣΗ ΜΕΤΩΠΙΑΙΩΝ</t>
  </si>
  <si>
    <t>ΠΑΡΑΚΕΝΤΗΣΗ ΤΥΜΠΑΝΟΥ ΚΑΙ Τ. ΣΩΛΗΝΙΣΚΩΝ</t>
  </si>
  <si>
    <t>Ω13Α</t>
  </si>
  <si>
    <t>ΡΙΝΟΠΛΑΣΤΙΚΗ</t>
  </si>
  <si>
    <r>
      <t>Κόστος ραμμάτων&gt;25</t>
    </r>
    <r>
      <rPr>
        <sz val="12"/>
        <color indexed="8"/>
        <rFont val="Calibri"/>
        <family val="2"/>
        <charset val="161"/>
      </rPr>
      <t>€</t>
    </r>
  </si>
  <si>
    <t>ΣΥΚΛΕΙΣΗ ΤΡΑΧΕΙΟΣΤΟΜΙΑΣ</t>
  </si>
  <si>
    <t>Ω12Α</t>
  </si>
  <si>
    <t>ΤΡΑΧΕΙΟΣΤΟΜΙΑ</t>
  </si>
  <si>
    <t>ΤΥΜΠΑΝΟΠΛΑΣΤΙΚΗ</t>
  </si>
  <si>
    <t>ΥΠΕΡΩΙΟΦΑΡΥΓΓΟΠΛΑΣΤΙΚΗ</t>
  </si>
  <si>
    <t>ΥΠΟΓΝΑΘΙΟΣ/ΒΡΑΓΚ.ΚΥΣΤΗ/ΚΥΣΤΗ ΘΥΡ. ΠΟΡΟΥ</t>
  </si>
  <si>
    <t>Ω02Χ</t>
  </si>
  <si>
    <t>ΦΑΡΥΓΓΟΠΛΑΣΤΙΚΗ</t>
  </si>
  <si>
    <t>ΩΤΟΠΛΑΣΤΙΚΗ ΜΙΑ ΠΛΕΥΡΑ</t>
  </si>
  <si>
    <t>ΩΤΟΠΛΑΣΤΙΚΗ ΑΜΦΩ</t>
  </si>
  <si>
    <t>ΤΙΜΟΚΑΤΑΛΟΓΟΣ ΣΤΟΜΑΤΟΓΝΑΘΟΠΡΟΣΩΠΙΚΗΣ ΧΕΙΡΟΥΡΓΙΚΗΣ ΣΤΑ ΕΞΩΤΕΡΙΚΑ ΙΑΤΡΕΙΑ</t>
  </si>
  <si>
    <t xml:space="preserve">ΤΙΜΟΚΑΤΑΛΟΓΟΣ ΣΤΟΜΑΤΟΓΝΑΘΟΠΡΟΣΩΠΙΚΗΣ ΧΕΙΡΟΥΡΓΙΚΗΣ ΣΤΑ ΧΕΙΡΟΥΡΓΕΙΑ </t>
  </si>
  <si>
    <r>
      <rPr>
        <b/>
        <sz val="11"/>
        <color rgb="FF000000"/>
        <rFont val="Trebuchet MS"/>
        <family val="2"/>
        <charset val="161"/>
      </rPr>
      <t>ΠΕΡΙΛΑΜΒΑΝΟΥΝ:</t>
    </r>
    <r>
      <rPr>
        <sz val="11"/>
        <color rgb="FF000000"/>
        <rFont val="Trebuchet MS"/>
        <family val="2"/>
        <charset val="161"/>
      </rPr>
      <t xml:space="preserve"> προεγχειρητικο ελεγχο (Γεν. αίματος, ουρία, INR, σάκχαρο, ΗΚΓ),έξοδα χειρουργείου-νάρκωσης,φάρμακα και απλά αντιβιοτικά,ΦΠΑ 24%</t>
    </r>
  </si>
  <si>
    <r>
      <rPr>
        <b/>
        <sz val="11"/>
        <color theme="1"/>
        <rFont val="Trebuchet MS"/>
        <family val="2"/>
        <charset val="161"/>
      </rPr>
      <t>Επιπλέον ημέρες σε Δίκλινο ανά ημέρα:</t>
    </r>
    <r>
      <rPr>
        <sz val="11"/>
        <color theme="1"/>
        <rFont val="Trebuchet MS"/>
        <family val="2"/>
        <charset val="161"/>
      </rPr>
      <t xml:space="preserve"> 186€ με φπα</t>
    </r>
  </si>
  <si>
    <r>
      <t xml:space="preserve">                  ΜΕΘΗ                            </t>
    </r>
    <r>
      <rPr>
        <sz val="11"/>
        <color theme="4" tint="-0.499984740745262"/>
        <rFont val="Trebuchet MS"/>
        <family val="2"/>
        <charset val="161"/>
      </rPr>
      <t>(κόστος χρήσης χώρου, συνήθη υλικά, φάρμακα για νευροληπτοαναλγησία (μέθη) και αμοιβή αναισθησιολόγου)</t>
    </r>
  </si>
  <si>
    <r>
      <t xml:space="preserve">           ΓΕΝΙΚΗ                 </t>
    </r>
    <r>
      <rPr>
        <sz val="11"/>
        <color theme="4" tint="-0.499984740745262"/>
        <rFont val="Trebuchet MS"/>
        <family val="2"/>
        <charset val="161"/>
      </rPr>
      <t>(Κόστος χρήσης χώρου, συνήθη υλικά, φάρμακα για γενική αναισθησία και αμοιβή αναισθησιολόγου)</t>
    </r>
  </si>
  <si>
    <r>
      <t xml:space="preserve">             ΜΕΘΗ                    </t>
    </r>
    <r>
      <rPr>
        <sz val="11"/>
        <color theme="4" tint="-0.249977111117893"/>
        <rFont val="Trebuchet MS"/>
        <family val="2"/>
        <charset val="161"/>
      </rPr>
      <t>(κόστος χρήσης χώρου, συνήθη υλικά, φάρμακα για νευροληπτοαναλγησία (μέθη) και αμοιβή αναισθησιολόγου)</t>
    </r>
  </si>
  <si>
    <r>
      <t xml:space="preserve">         ΓΕΝΙΚΗ                 </t>
    </r>
    <r>
      <rPr>
        <sz val="11"/>
        <color theme="4" tint="-0.249977111117893"/>
        <rFont val="Trebuchet MS"/>
        <family val="2"/>
        <charset val="161"/>
      </rPr>
      <t>(κόστος χρήσης χώρου, συνήθη υλικά, φάρμακα για γενική αναισθησία και αμοιβή αναισθησιολόγου)</t>
    </r>
  </si>
  <si>
    <r>
      <rPr>
        <b/>
        <sz val="11"/>
        <color theme="1"/>
        <rFont val="Trebuchet MS"/>
        <family val="2"/>
        <charset val="161"/>
      </rPr>
      <t>Ιστολογική</t>
    </r>
    <r>
      <rPr>
        <sz val="11"/>
        <color theme="1"/>
        <rFont val="Trebuchet MS"/>
        <family val="2"/>
        <charset val="161"/>
      </rPr>
      <t xml:space="preserve">: 75 με φπα </t>
    </r>
  </si>
  <si>
    <t>ΠΕΡΙΛΑΜΒΑΝΕΙ ΈΩΣ 1 ΣΤΕΝΤ</t>
  </si>
  <si>
    <r>
      <t xml:space="preserve">ΔΕΝ Περιλαμβάνεται αμοιβή αναισθησιολόγου </t>
    </r>
    <r>
      <rPr>
        <b/>
        <sz val="12"/>
        <color theme="1"/>
        <rFont val="Aptos Narrow"/>
        <family val="2"/>
      </rPr>
      <t>200€</t>
    </r>
  </si>
  <si>
    <t>ΤΙΜΟΚΑΤΑΛΟΓΟΣ ΟΣΦΥΟΝΩΤΙΑΙΑΣ ΠΑΡΑΚΕΝΤΗΣΗΣ</t>
  </si>
  <si>
    <r>
      <t>ΕΝΕΣΗ (</t>
    </r>
    <r>
      <rPr>
        <b/>
        <sz val="11"/>
        <color rgb="FFFF0000"/>
        <rFont val="Trebuchet MS"/>
        <family val="2"/>
        <charset val="161"/>
      </rPr>
      <t>όταν γίνεται άμφω θα χρεώνεται μια πράξη και 2 φάρμακα)</t>
    </r>
  </si>
  <si>
    <t>Πρόσθια Οσφυικη σπονδυλοδεσια εως 3 επιπεδα</t>
  </si>
  <si>
    <t>ΕΟΠΠΥ ΝΕΟΣ 05/03/2026</t>
  </si>
  <si>
    <t>Kρανιοπλαστικη με αυτομοσχευμα ή αλλομοσχευμα</t>
  </si>
  <si>
    <t>Βιοψια βλαβης εγκεφαλου με NAVIGATION</t>
  </si>
  <si>
    <t>ΜΕ ΥΛΙΚΑ ΕΚΤΟΣ CUSA ΚΑΙ CLIP ΑΝΕΥΡΥΣΜΑΤΩΝ</t>
  </si>
  <si>
    <t xml:space="preserve">DBS με 3 ημερες παραμονη και προεγχειρητικα CT &amp; MRI, προεγχειρητικο ελεγχο, χειρουργειο με μη επαναφορτιζομενο συστημα(τελικο ποσο) </t>
  </si>
  <si>
    <t>περιλαμβανονται YΛΙΚΑ MEDTRONIC</t>
  </si>
  <si>
    <t xml:space="preserve">DBS με 3 ημερες παραμονη και προεγχειρητικα CT &amp; MRI, προεγχειρητικο ελεγχο, χειρουργειο με  επαναφορτιζομενο συστημα(τελικο ποσο) </t>
  </si>
  <si>
    <t xml:space="preserve">Αλλαγη μπαταριας νευροδιεγερτη DBS μη επαναφορτιζομενου </t>
  </si>
  <si>
    <t>Αλλαγη μπαταριας νευροδιεγερτη DBS  επαναφορτιζομενου</t>
  </si>
  <si>
    <t>ΕΟΠΠΥ ΝΕΟΣ 05.03.26</t>
  </si>
  <si>
    <t>ΔΕΝ ΤΟ ΧΡΕΩΝΕΙ Η MEDTRONIC</t>
  </si>
  <si>
    <t xml:space="preserve">ΗΜΕΡΕΣ </t>
  </si>
  <si>
    <t>Εγχυση σε νευρο αποφυσιακης αρθρωσης κορτιζονης ή αναισθητικου</t>
  </si>
  <si>
    <t>Εγχυση στην ιερολαγονια αρθρωση</t>
  </si>
  <si>
    <t>Εγχυση επισκληριδιος</t>
  </si>
  <si>
    <t>Διαδερμικη λυση επισκληριδιων συμφυσεων μηχανικα (επισκληριδιοσκοπηση)</t>
  </si>
  <si>
    <t>Διαδερμικη λυση επισκληριδιων συμφυσεων με εγχυση διαλυματος</t>
  </si>
  <si>
    <t>Καταστροφη περιφερικου νευρου με νευρολυτικο παραγοντα</t>
  </si>
  <si>
    <t>Καταστροφη(νευρολυση) κοιλιακο πλεγμα</t>
  </si>
  <si>
    <t>Καταστροφη (νευρολυση) ανω υπογαστριο πλεγμα</t>
  </si>
  <si>
    <t>Ε</t>
  </si>
  <si>
    <t xml:space="preserve">ΥΛΙΚΑ EXTRA + ΑΝΟΣΟΪΣΤΟΧΗΜΕΊΑ </t>
  </si>
  <si>
    <t>Θ02Χ (E22.9)</t>
  </si>
  <si>
    <t>M10ΧΔ</t>
  </si>
  <si>
    <t xml:space="preserve">Καταστροφη - νευρόλυση αποφυσιακης αρθρωσης ή ιερολαγονίων με φαρμακευτικό παράγοντα ή rf ablation </t>
  </si>
  <si>
    <t>Αρθροσκόπηση Ισχίου</t>
  </si>
  <si>
    <r>
      <rPr>
        <b/>
        <i/>
        <sz val="11"/>
        <color rgb="FFFF0000"/>
        <rFont val="Trebuchet MS"/>
        <family val="2"/>
        <charset val="161"/>
      </rPr>
      <t>1 ώρα Χ/ΟΥ</t>
    </r>
    <r>
      <rPr>
        <b/>
        <i/>
        <sz val="11"/>
        <color theme="3" tint="-0.249977111117893"/>
        <rFont val="Trebuchet MS"/>
        <family val="2"/>
        <charset val="161"/>
      </rPr>
      <t xml:space="preserve"> Eξιτήριο την ίδια ημέρα  μέχρι τις 13.00. *Oποιαδήποτε παράταση νοσηλείας του ασθενή θα επιβαρύνει το κόστος με τη διαφορά τιμής που προκύπτει από τη θέση που παραμένει.</t>
    </r>
  </si>
  <si>
    <t>Νέα Προσθήκη</t>
  </si>
  <si>
    <t xml:space="preserve">390€ ΜΕ ΝΕΥΡΟΔ. (ΣΥΜΠΕΡΙΛΑΜΒΑΝΕΤΑΙ ΦΠΑ) </t>
  </si>
  <si>
    <t>Σε περίπτωση κακοήθειας, αν στο πρακτικό αναφέρει και άλλες πράξεις  (πχ λεμφαδενικό καθαρισμό), βάζουμε ΚΕΝ Θ06Μ</t>
  </si>
  <si>
    <r>
      <rPr>
        <sz val="12"/>
        <color theme="1"/>
        <rFont val="Trebuchet MS"/>
        <family val="2"/>
        <charset val="161"/>
      </rPr>
      <t>Οι τιμές αφορούν μέγιστο χρόνο νοσηλείας σε ΜΕΘ-ΜΑΠ τις 3 ημέρες. Πέραν των 3 ημερών και εντός της ΜΔΝ το κόστος διαμορφώνεται σε 350€/ημέρα</t>
    </r>
    <r>
      <rPr>
        <b/>
        <sz val="12"/>
        <color rgb="FFFF0000"/>
        <rFont val="Trebuchet MS"/>
        <family val="2"/>
        <charset val="161"/>
      </rPr>
      <t xml:space="preserve"> </t>
    </r>
  </si>
  <si>
    <t xml:space="preserve">Κιρσεκτομή </t>
  </si>
  <si>
    <t>Περιλαμβάνει: 
1. Γεν. αίματος, INR, ΗΚΓ               2. Έως 3 Ράμματα                          3. Χειρουργική αίθουσα 
3. Με τοπική νάρκωση</t>
  </si>
  <si>
    <t>30min - 2h στην βραχεία</t>
  </si>
  <si>
    <t>CNW0T2-9</t>
  </si>
  <si>
    <t>Clareon® Toric</t>
  </si>
  <si>
    <t>CNWET0</t>
  </si>
  <si>
    <t>CLAREON VIVITY</t>
  </si>
  <si>
    <t>CNWET2-6.XXX</t>
  </si>
  <si>
    <t>CLAREON VIVITY TORIC T2</t>
  </si>
  <si>
    <r>
      <t xml:space="preserve">TAVI </t>
    </r>
    <r>
      <rPr>
        <b/>
        <sz val="12"/>
        <color rgb="FFFF0000"/>
        <rFont val="Trebuchet MS"/>
        <family val="2"/>
        <charset val="161"/>
      </rPr>
      <t>ΜΕ ΔΙΑΚΑΘΕΤΗΡΙΑΚΕΣ ΑΟΡΤΙΚΕΣ ΒΑΛΒΙΔΕΣ
Evolut PRO PLUS 26/29/34 MEDRONIC Ή MYVAL MERIL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</si>
</sst>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0\ &quot;€&quot;;[Red]\-#,##0\ &quot;€&quot;"/>
    <numFmt numFmtId="8" formatCode="#,##0.00\ &quot;€&quot;;[Red]\-#,##0.00\ &quot;€&quot;"/>
    <numFmt numFmtId="42" formatCode="_-* #,##0\ &quot;€&quot;_-;\-* #,##0\ &quot;€&quot;_-;_-* &quot;-&quot;\ &quot;€&quot;_-;_-@_-"/>
    <numFmt numFmtId="44" formatCode="_-* #,##0.00\ &quot;€&quot;_-;\-* #,##0.00\ &quot;€&quot;_-;_-* &quot;-&quot;??\ &quot;€&quot;_-;_-@_-"/>
    <numFmt numFmtId="43" formatCode="_-* #,##0.00_-;\-* #,##0.00_-;_-* &quot;-&quot;??_-;_-@_-"/>
    <numFmt numFmtId="164" formatCode="#,##0\ &quot;€&quot;"/>
    <numFmt numFmtId="165" formatCode="#,##0.00\ &quot;€&quot;"/>
    <numFmt numFmtId="166" formatCode="_-* #,##0\ &quot;€&quot;_-;\-* #,##0\ &quot;€&quot;_-;_-* &quot;-&quot;??\ &quot;€&quot;_-;_-@_-"/>
    <numFmt numFmtId="167" formatCode="0\ \€"/>
  </numFmts>
  <fonts count="130" x14ac:knownFonts="1">
    <font>
      <sz val="11"/>
      <color theme="1"/>
      <name val="Aptos Narrow"/>
      <family val="2"/>
      <charset val="161"/>
      <scheme val="minor"/>
    </font>
    <font>
      <sz val="11"/>
      <color theme="1"/>
      <name val="Aptos Narrow"/>
      <family val="2"/>
      <charset val="161"/>
      <scheme val="minor"/>
    </font>
    <font>
      <sz val="11"/>
      <color rgb="FFFF0000"/>
      <name val="Aptos Narrow"/>
      <family val="2"/>
      <charset val="161"/>
      <scheme val="minor"/>
    </font>
    <font>
      <b/>
      <sz val="11"/>
      <color theme="1"/>
      <name val="Aptos Narrow"/>
      <family val="2"/>
      <charset val="161"/>
      <scheme val="minor"/>
    </font>
    <font>
      <sz val="11"/>
      <color theme="1"/>
      <name val="Trebuchet MS"/>
      <family val="2"/>
      <charset val="161"/>
    </font>
    <font>
      <b/>
      <sz val="12"/>
      <color rgb="FFFF0000"/>
      <name val="Trebuchet MS"/>
      <family val="2"/>
      <charset val="161"/>
    </font>
    <font>
      <b/>
      <sz val="12"/>
      <color theme="1"/>
      <name val="Trebuchet MS"/>
      <family val="2"/>
      <charset val="161"/>
    </font>
    <font>
      <b/>
      <sz val="11"/>
      <color rgb="FFFF0000"/>
      <name val="Trebuchet MS"/>
      <family val="2"/>
      <charset val="161"/>
    </font>
    <font>
      <b/>
      <sz val="12"/>
      <color theme="7" tint="-0.499984740745262"/>
      <name val="Trebuchet MS"/>
      <family val="2"/>
      <charset val="161"/>
    </font>
    <font>
      <b/>
      <sz val="12"/>
      <color indexed="8"/>
      <name val="Trebuchet MS"/>
      <family val="2"/>
      <charset val="161"/>
    </font>
    <font>
      <b/>
      <sz val="12"/>
      <name val="Trebuchet MS"/>
      <family val="2"/>
      <charset val="161"/>
    </font>
    <font>
      <sz val="12"/>
      <color theme="1"/>
      <name val="Trebuchet MS"/>
      <family val="2"/>
      <charset val="161"/>
    </font>
    <font>
      <sz val="12"/>
      <color indexed="8"/>
      <name val="Trebuchet MS"/>
      <family val="2"/>
      <charset val="161"/>
    </font>
    <font>
      <sz val="10"/>
      <color theme="1"/>
      <name val="Trebuchet MS"/>
      <family val="2"/>
      <charset val="161"/>
    </font>
    <font>
      <b/>
      <u/>
      <sz val="12"/>
      <color rgb="FF002060"/>
      <name val="Trebuchet MS"/>
      <family val="2"/>
      <charset val="161"/>
    </font>
    <font>
      <sz val="12"/>
      <color rgb="FFFF0000"/>
      <name val="Trebuchet MS"/>
      <family val="2"/>
      <charset val="161"/>
    </font>
    <font>
      <b/>
      <sz val="11"/>
      <color theme="1"/>
      <name val="Trebuchet MS"/>
      <family val="2"/>
      <charset val="161"/>
    </font>
    <font>
      <b/>
      <sz val="14"/>
      <color rgb="FFFF0000"/>
      <name val="Trebuchet MS"/>
      <family val="2"/>
      <charset val="161"/>
    </font>
    <font>
      <u/>
      <sz val="12"/>
      <color theme="1"/>
      <name val="Trebuchet MS"/>
      <family val="2"/>
      <charset val="161"/>
    </font>
    <font>
      <u/>
      <sz val="12"/>
      <color rgb="FFFF0000"/>
      <name val="Trebuchet MS"/>
      <family val="2"/>
      <charset val="161"/>
    </font>
    <font>
      <u/>
      <sz val="12"/>
      <color theme="5" tint="-0.249977111117893"/>
      <name val="Trebuchet MS"/>
      <family val="2"/>
      <charset val="161"/>
    </font>
    <font>
      <sz val="12"/>
      <color theme="5" tint="-0.249977111117893"/>
      <name val="Trebuchet MS"/>
      <family val="2"/>
      <charset val="161"/>
    </font>
    <font>
      <i/>
      <sz val="12"/>
      <color theme="1"/>
      <name val="Trebuchet MS"/>
      <family val="2"/>
      <charset val="161"/>
    </font>
    <font>
      <sz val="11"/>
      <color indexed="8"/>
      <name val="Calibri"/>
      <family val="2"/>
      <charset val="161"/>
    </font>
    <font>
      <sz val="11"/>
      <color theme="1"/>
      <name val="Aptos Narrow"/>
      <family val="2"/>
      <scheme val="minor"/>
    </font>
    <font>
      <b/>
      <i/>
      <sz val="12"/>
      <color theme="3" tint="-0.249977111117893"/>
      <name val="Trebuchet MS"/>
      <family val="2"/>
      <charset val="161"/>
    </font>
    <font>
      <b/>
      <sz val="14"/>
      <color theme="1"/>
      <name val="Aptos Narrow"/>
      <family val="2"/>
      <charset val="161"/>
      <scheme val="minor"/>
    </font>
    <font>
      <sz val="12"/>
      <color theme="1"/>
      <name val="Aptos Narrow"/>
      <family val="2"/>
      <charset val="161"/>
      <scheme val="minor"/>
    </font>
    <font>
      <sz val="12"/>
      <name val="Trebuchet MS"/>
      <family val="2"/>
      <charset val="161"/>
    </font>
    <font>
      <b/>
      <sz val="12"/>
      <color rgb="FF7030A0"/>
      <name val="Aptos Narrow"/>
      <family val="2"/>
      <charset val="161"/>
      <scheme val="minor"/>
    </font>
    <font>
      <b/>
      <sz val="12"/>
      <color theme="1"/>
      <name val="Aptos Narrow"/>
      <family val="2"/>
      <charset val="161"/>
      <scheme val="minor"/>
    </font>
    <font>
      <sz val="11"/>
      <color theme="1"/>
      <name val="Aptos"/>
      <family val="2"/>
    </font>
    <font>
      <sz val="10"/>
      <color theme="1"/>
      <name val="Times New Roman"/>
      <family val="1"/>
      <charset val="161"/>
    </font>
    <font>
      <b/>
      <sz val="11"/>
      <color rgb="FF000000"/>
      <name val="Trebuchet MS"/>
      <family val="2"/>
      <charset val="161"/>
    </font>
    <font>
      <b/>
      <sz val="10"/>
      <color rgb="FF000000"/>
      <name val="Trebuchet MS"/>
      <family val="2"/>
      <charset val="161"/>
    </font>
    <font>
      <sz val="10"/>
      <color rgb="FF000000"/>
      <name val="Trebuchet MS"/>
      <family val="2"/>
      <charset val="161"/>
    </font>
    <font>
      <b/>
      <sz val="12"/>
      <color rgb="FF000000"/>
      <name val="Trebuchet MS"/>
      <family val="2"/>
      <charset val="161"/>
    </font>
    <font>
      <b/>
      <sz val="12"/>
      <color rgb="FF0B1D2F"/>
      <name val="Trebuchet MS"/>
      <family val="2"/>
      <charset val="161"/>
    </font>
    <font>
      <b/>
      <sz val="14"/>
      <color theme="4" tint="-0.249977111117893"/>
      <name val="Trebuchet MS"/>
      <family val="2"/>
      <charset val="161"/>
    </font>
    <font>
      <b/>
      <sz val="14"/>
      <color theme="1"/>
      <name val="Trebuchet MS"/>
      <family val="2"/>
      <charset val="161"/>
    </font>
    <font>
      <sz val="14"/>
      <color theme="1"/>
      <name val="Aptos Narrow"/>
      <family val="2"/>
      <charset val="161"/>
      <scheme val="minor"/>
    </font>
    <font>
      <sz val="14"/>
      <color theme="1"/>
      <name val="Trebuchet MS"/>
      <family val="2"/>
      <charset val="161"/>
    </font>
    <font>
      <sz val="14"/>
      <color theme="4" tint="-0.249977111117893"/>
      <name val="Aptos Narrow"/>
      <family val="2"/>
      <charset val="161"/>
      <scheme val="minor"/>
    </font>
    <font>
      <sz val="14"/>
      <color rgb="FF000000"/>
      <name val="Trebuchet MS"/>
      <family val="2"/>
      <charset val="161"/>
    </font>
    <font>
      <b/>
      <sz val="14"/>
      <color rgb="FF000000"/>
      <name val="Trebuchet MS"/>
      <family val="2"/>
      <charset val="161"/>
    </font>
    <font>
      <b/>
      <sz val="11"/>
      <color theme="7" tint="-0.499984740745262"/>
      <name val="Trebuchet MS"/>
      <family val="2"/>
      <charset val="161"/>
    </font>
    <font>
      <sz val="11"/>
      <color rgb="FFFF0000"/>
      <name val="Trebuchet MS"/>
      <family val="2"/>
      <charset val="161"/>
    </font>
    <font>
      <sz val="11"/>
      <color rgb="FF000000"/>
      <name val="Trebuchet MS"/>
      <family val="2"/>
      <charset val="161"/>
    </font>
    <font>
      <sz val="10"/>
      <color rgb="FFFF0000"/>
      <name val="Trebuchet MS"/>
      <family val="2"/>
      <charset val="161"/>
    </font>
    <font>
      <b/>
      <sz val="10"/>
      <color theme="1"/>
      <name val="Trebuchet MS"/>
      <family val="2"/>
      <charset val="161"/>
    </font>
    <font>
      <b/>
      <i/>
      <sz val="10"/>
      <color theme="1"/>
      <name val="Trebuchet MS"/>
      <family val="2"/>
      <charset val="161"/>
    </font>
    <font>
      <b/>
      <i/>
      <sz val="11"/>
      <color theme="1"/>
      <name val="Aptos Narrow"/>
      <family val="2"/>
      <charset val="161"/>
      <scheme val="minor"/>
    </font>
    <font>
      <sz val="8"/>
      <color indexed="8"/>
      <name val="Trebuchet MS"/>
      <family val="2"/>
      <charset val="161"/>
    </font>
    <font>
      <b/>
      <sz val="12"/>
      <color theme="3"/>
      <name val="Trebuchet MS"/>
      <family val="2"/>
      <charset val="161"/>
    </font>
    <font>
      <b/>
      <sz val="11"/>
      <color rgb="FFFF0000"/>
      <name val="Aptos Narrow"/>
      <family val="2"/>
      <charset val="161"/>
      <scheme val="minor"/>
    </font>
    <font>
      <b/>
      <sz val="11.5"/>
      <color rgb="FF000000"/>
      <name val="Trebuchet MS"/>
      <family val="2"/>
      <charset val="161"/>
    </font>
    <font>
      <b/>
      <sz val="11.5"/>
      <color rgb="FFFF0000"/>
      <name val="Trebuchet MS"/>
      <family val="2"/>
      <charset val="161"/>
    </font>
    <font>
      <sz val="13"/>
      <color rgb="FFFF0000"/>
      <name val="Aptos Narrow"/>
      <family val="2"/>
      <charset val="161"/>
      <scheme val="minor"/>
    </font>
    <font>
      <sz val="11"/>
      <name val="Trebuchet MS"/>
      <family val="2"/>
      <charset val="161"/>
    </font>
    <font>
      <b/>
      <sz val="8"/>
      <color theme="1"/>
      <name val="Trebuchet MS"/>
      <family val="2"/>
      <charset val="161"/>
    </font>
    <font>
      <b/>
      <sz val="10"/>
      <color rgb="FFFF0000"/>
      <name val="Trebuchet MS"/>
      <family val="2"/>
      <charset val="161"/>
    </font>
    <font>
      <b/>
      <sz val="10"/>
      <color theme="5" tint="-0.499984740745262"/>
      <name val="Trebuchet MS"/>
      <family val="2"/>
      <charset val="161"/>
    </font>
    <font>
      <b/>
      <sz val="10"/>
      <color theme="7" tint="-0.499984740745262"/>
      <name val="Trebuchet MS"/>
      <family val="2"/>
      <charset val="161"/>
    </font>
    <font>
      <sz val="8"/>
      <color theme="1"/>
      <name val="Trebuchet MS"/>
      <family val="2"/>
      <charset val="161"/>
    </font>
    <font>
      <b/>
      <i/>
      <sz val="8"/>
      <color rgb="FFFF0000"/>
      <name val="Trebuchet MS"/>
      <family val="2"/>
      <charset val="161"/>
    </font>
    <font>
      <i/>
      <sz val="8"/>
      <color theme="1"/>
      <name val="Trebuchet MS"/>
      <family val="2"/>
      <charset val="161"/>
    </font>
    <font>
      <sz val="10"/>
      <color theme="1"/>
      <name val="Calibri"/>
      <family val="2"/>
      <charset val="161"/>
    </font>
    <font>
      <b/>
      <sz val="11"/>
      <color theme="1"/>
      <name val="Arial"/>
      <family val="2"/>
      <charset val="161"/>
    </font>
    <font>
      <b/>
      <sz val="10"/>
      <name val="Trebuchet MS"/>
      <family val="2"/>
      <charset val="161"/>
    </font>
    <font>
      <i/>
      <sz val="10"/>
      <color theme="1"/>
      <name val="Trebuchet MS"/>
      <family val="2"/>
      <charset val="161"/>
    </font>
    <font>
      <b/>
      <u/>
      <sz val="14"/>
      <color theme="1"/>
      <name val="Calibri"/>
      <family val="2"/>
      <charset val="161"/>
    </font>
    <font>
      <b/>
      <u/>
      <sz val="11"/>
      <color theme="1"/>
      <name val="Aptos Narrow"/>
      <family val="2"/>
      <charset val="161"/>
      <scheme val="minor"/>
    </font>
    <font>
      <b/>
      <sz val="9"/>
      <color rgb="FF000000"/>
      <name val="Aptos Narrow"/>
      <family val="2"/>
      <charset val="161"/>
      <scheme val="minor"/>
    </font>
    <font>
      <sz val="9"/>
      <color rgb="FF000000"/>
      <name val="Aptos Narrow"/>
      <family val="2"/>
      <charset val="161"/>
      <scheme val="minor"/>
    </font>
    <font>
      <sz val="11"/>
      <color theme="1"/>
      <name val="Arial Narrow"/>
      <family val="2"/>
    </font>
    <font>
      <sz val="10"/>
      <color theme="1"/>
      <name val="Aptos Narrow"/>
      <family val="2"/>
      <charset val="161"/>
      <scheme val="minor"/>
    </font>
    <font>
      <sz val="10"/>
      <color theme="1"/>
      <name val="Arial Narrow"/>
      <family val="2"/>
      <charset val="161"/>
    </font>
    <font>
      <b/>
      <u/>
      <sz val="11"/>
      <color rgb="FF000000"/>
      <name val="Aptos Narrow"/>
      <family val="2"/>
      <charset val="161"/>
      <scheme val="minor"/>
    </font>
    <font>
      <sz val="9"/>
      <color rgb="FFFF0000"/>
      <name val="Aptos Narrow"/>
      <family val="2"/>
      <charset val="161"/>
      <scheme val="minor"/>
    </font>
    <font>
      <sz val="10"/>
      <color rgb="FFFF0000"/>
      <name val="Aptos Narrow"/>
      <family val="2"/>
      <charset val="161"/>
      <scheme val="minor"/>
    </font>
    <font>
      <b/>
      <u/>
      <sz val="14"/>
      <color rgb="FFFFFFFF"/>
      <name val="Calibri"/>
      <family val="2"/>
      <charset val="161"/>
    </font>
    <font>
      <b/>
      <sz val="14"/>
      <color theme="1"/>
      <name val="Calibri"/>
      <family val="2"/>
      <charset val="161"/>
    </font>
    <font>
      <b/>
      <sz val="11"/>
      <color theme="1"/>
      <name val="Aptos Narrow"/>
      <family val="2"/>
      <scheme val="minor"/>
    </font>
    <font>
      <b/>
      <i/>
      <sz val="10"/>
      <color rgb="FF000000"/>
      <name val="Trebuchet MS"/>
      <family val="2"/>
      <charset val="161"/>
    </font>
    <font>
      <sz val="11"/>
      <color indexed="8"/>
      <name val="Trebuchet MS"/>
      <family val="2"/>
      <charset val="161"/>
    </font>
    <font>
      <b/>
      <sz val="12"/>
      <color rgb="FF153D64"/>
      <name val="Trebuchet MS"/>
      <family val="2"/>
      <charset val="161"/>
    </font>
    <font>
      <b/>
      <sz val="8"/>
      <color rgb="FF000000"/>
      <name val="Trebuchet MS"/>
      <family val="2"/>
      <charset val="161"/>
    </font>
    <font>
      <sz val="12"/>
      <color indexed="8"/>
      <name val="Verdana"/>
      <family val="2"/>
      <charset val="161"/>
    </font>
    <font>
      <sz val="11"/>
      <name val="Calibri"/>
      <family val="2"/>
      <charset val="161"/>
    </font>
    <font>
      <b/>
      <sz val="11"/>
      <name val="Trebuchet MS"/>
      <family val="2"/>
      <charset val="161"/>
    </font>
    <font>
      <sz val="11"/>
      <color rgb="FFFF0000"/>
      <name val="Aptos Narrow"/>
      <family val="2"/>
      <scheme val="minor"/>
    </font>
    <font>
      <b/>
      <sz val="12"/>
      <color theme="1"/>
      <name val="Arial"/>
      <family val="2"/>
      <charset val="161"/>
    </font>
    <font>
      <sz val="16"/>
      <color theme="1"/>
      <name val="Trebuchet MS"/>
      <family val="2"/>
      <charset val="161"/>
    </font>
    <font>
      <b/>
      <sz val="11"/>
      <color indexed="8"/>
      <name val="Trebuchet MS"/>
      <family val="2"/>
      <charset val="161"/>
    </font>
    <font>
      <i/>
      <sz val="11"/>
      <color theme="1"/>
      <name val="Trebuchet MS"/>
      <family val="2"/>
      <charset val="161"/>
    </font>
    <font>
      <b/>
      <sz val="11"/>
      <name val="Trebuchet MS"/>
      <family val="2"/>
    </font>
    <font>
      <sz val="11"/>
      <name val="Trebuchet MS"/>
      <family val="2"/>
    </font>
    <font>
      <sz val="11"/>
      <color rgb="FF000000"/>
      <name val="Trebuchet MS"/>
      <family val="2"/>
    </font>
    <font>
      <sz val="11"/>
      <name val="Aptos Narrow"/>
      <family val="2"/>
      <charset val="161"/>
      <scheme val="minor"/>
    </font>
    <font>
      <b/>
      <sz val="12"/>
      <color theme="3" tint="-0.249977111117893"/>
      <name val="Trebuchet MS"/>
      <family val="2"/>
      <charset val="161"/>
    </font>
    <font>
      <b/>
      <i/>
      <sz val="11"/>
      <color theme="3" tint="-0.249977111117893"/>
      <name val="Trebuchet MS"/>
      <family val="2"/>
      <charset val="161"/>
    </font>
    <font>
      <b/>
      <i/>
      <sz val="11"/>
      <color rgb="FFFF0000"/>
      <name val="Trebuchet MS"/>
      <family val="2"/>
      <charset val="161"/>
    </font>
    <font>
      <b/>
      <i/>
      <sz val="12"/>
      <color theme="1"/>
      <name val="Trebuchet MS"/>
      <family val="2"/>
      <charset val="161"/>
    </font>
    <font>
      <sz val="11"/>
      <color theme="9" tint="-0.249977111117893"/>
      <name val="Aptos Narrow"/>
      <family val="2"/>
      <charset val="161"/>
      <scheme val="minor"/>
    </font>
    <font>
      <b/>
      <sz val="12"/>
      <name val="Aptos Narrow"/>
      <family val="2"/>
      <charset val="161"/>
      <scheme val="minor"/>
    </font>
    <font>
      <b/>
      <sz val="16"/>
      <color theme="1"/>
      <name val="Aptos Narrow"/>
      <family val="2"/>
      <charset val="161"/>
      <scheme val="minor"/>
    </font>
    <font>
      <b/>
      <i/>
      <u/>
      <sz val="12"/>
      <color theme="1"/>
      <name val="Aptos Narrow"/>
      <family val="2"/>
      <charset val="161"/>
      <scheme val="minor"/>
    </font>
    <font>
      <b/>
      <sz val="12"/>
      <color rgb="FF0070C0"/>
      <name val="Aptos Narrow"/>
      <family val="2"/>
      <charset val="161"/>
      <scheme val="minor"/>
    </font>
    <font>
      <b/>
      <sz val="11"/>
      <color theme="9"/>
      <name val="Aptos Narrow"/>
      <family val="2"/>
      <charset val="161"/>
      <scheme val="minor"/>
    </font>
    <font>
      <b/>
      <u/>
      <sz val="12"/>
      <color theme="1"/>
      <name val="Trebuchet MS"/>
      <family val="2"/>
      <charset val="161"/>
    </font>
    <font>
      <b/>
      <u/>
      <sz val="11"/>
      <color theme="1"/>
      <name val="Trebuchet MS"/>
      <family val="2"/>
      <charset val="161"/>
    </font>
    <font>
      <b/>
      <u/>
      <sz val="11"/>
      <color rgb="FF000000"/>
      <name val="Trebuchet MS"/>
      <family val="2"/>
      <charset val="161"/>
    </font>
    <font>
      <sz val="12"/>
      <color indexed="8"/>
      <name val="Calibri"/>
      <family val="2"/>
      <charset val="161"/>
    </font>
    <font>
      <b/>
      <sz val="14"/>
      <color rgb="FFC00000"/>
      <name val="Trebuchet MS"/>
      <family val="2"/>
      <charset val="161"/>
    </font>
    <font>
      <b/>
      <sz val="18"/>
      <color rgb="FFC00000"/>
      <name val="Trebuchet MS"/>
      <family val="2"/>
      <charset val="161"/>
    </font>
    <font>
      <b/>
      <sz val="16"/>
      <color rgb="FFC00000"/>
      <name val="Trebuchet MS"/>
      <family val="2"/>
      <charset val="161"/>
    </font>
    <font>
      <b/>
      <sz val="11"/>
      <color theme="4" tint="-0.499984740745262"/>
      <name val="Trebuchet MS"/>
      <family val="2"/>
      <charset val="161"/>
    </font>
    <font>
      <sz val="11"/>
      <color theme="4" tint="-0.499984740745262"/>
      <name val="Trebuchet MS"/>
      <family val="2"/>
      <charset val="161"/>
    </font>
    <font>
      <b/>
      <sz val="11"/>
      <color theme="4" tint="-0.249977111117893"/>
      <name val="Trebuchet MS"/>
      <family val="2"/>
      <charset val="161"/>
    </font>
    <font>
      <sz val="11"/>
      <color theme="4" tint="-0.249977111117893"/>
      <name val="Trebuchet MS"/>
      <family val="2"/>
      <charset val="161"/>
    </font>
    <font>
      <b/>
      <i/>
      <sz val="12"/>
      <color rgb="FFC00000"/>
      <name val="Trebuchet MS"/>
      <family val="2"/>
      <charset val="161"/>
    </font>
    <font>
      <sz val="12"/>
      <color rgb="FFC00000"/>
      <name val="Trebuchet MS"/>
      <family val="2"/>
      <charset val="161"/>
    </font>
    <font>
      <b/>
      <sz val="11"/>
      <color rgb="FFC00000"/>
      <name val="Trebuchet MS"/>
      <family val="2"/>
      <charset val="161"/>
    </font>
    <font>
      <sz val="12"/>
      <color theme="1"/>
      <name val="Aptos Narrow"/>
      <family val="2"/>
      <charset val="161"/>
    </font>
    <font>
      <b/>
      <sz val="12"/>
      <color theme="1"/>
      <name val="Aptos Narrow"/>
      <family val="2"/>
    </font>
    <font>
      <b/>
      <sz val="12"/>
      <color rgb="FFC00000"/>
      <name val="Trebuchet MS"/>
      <family val="2"/>
    </font>
    <font>
      <b/>
      <sz val="12"/>
      <color rgb="FFC00000"/>
      <name val="Trebuchet MS"/>
      <family val="2"/>
      <charset val="161"/>
    </font>
    <font>
      <b/>
      <sz val="14"/>
      <color rgb="FFC00000"/>
      <name val="Aptos Narrow"/>
      <family val="2"/>
      <charset val="161"/>
      <scheme val="minor"/>
    </font>
    <font>
      <b/>
      <sz val="9"/>
      <color indexed="81"/>
      <name val="Tahoma"/>
      <family val="2"/>
      <charset val="161"/>
    </font>
    <font>
      <sz val="12"/>
      <color rgb="FF000000"/>
      <name val="Trebuchet MS"/>
      <family val="2"/>
      <charset val="161"/>
    </font>
  </fonts>
  <fills count="3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EAEFF7"/>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002060"/>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D9E1F2"/>
        <bgColor indexed="64"/>
      </patternFill>
    </fill>
    <fill>
      <patternFill patternType="solid">
        <fgColor rgb="FFB4C6E7"/>
        <bgColor indexed="64"/>
      </patternFill>
    </fill>
    <fill>
      <patternFill patternType="solid">
        <fgColor theme="3" tint="-0.499984740745262"/>
        <bgColor indexed="64"/>
      </patternFill>
    </fill>
    <fill>
      <patternFill patternType="solid">
        <fgColor indexed="9"/>
        <bgColor indexed="64"/>
      </patternFill>
    </fill>
    <fill>
      <patternFill patternType="solid">
        <fgColor rgb="FFD5DCE4"/>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FFFF66"/>
        <bgColor indexed="64"/>
      </patternFill>
    </fill>
    <fill>
      <patternFill patternType="solid">
        <fgColor theme="3" tint="0.89999084444715716"/>
        <bgColor indexed="64"/>
      </patternFill>
    </fill>
    <fill>
      <patternFill patternType="solid">
        <fgColor theme="6" tint="0.39997558519241921"/>
        <bgColor indexed="64"/>
      </patternFill>
    </fill>
    <fill>
      <patternFill patternType="solid">
        <fgColor rgb="FFE2EFD9"/>
        <bgColor indexed="64"/>
      </patternFill>
    </fill>
  </fills>
  <borders count="9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10"/>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rgb="FFFF0000"/>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rgb="FFFF0000"/>
      </right>
      <top style="thin">
        <color indexed="64"/>
      </top>
      <bottom style="medium">
        <color indexed="64"/>
      </bottom>
      <diagonal/>
    </border>
    <border>
      <left style="thin">
        <color rgb="FFFF0000"/>
      </left>
      <right/>
      <top style="thin">
        <color indexed="64"/>
      </top>
      <bottom style="medium">
        <color indexed="64"/>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10"/>
      </left>
      <right/>
      <top/>
      <bottom style="medium">
        <color indexed="64"/>
      </bottom>
      <diagonal/>
    </border>
    <border>
      <left style="medium">
        <color indexed="64"/>
      </left>
      <right style="thin">
        <color indexed="64"/>
      </right>
      <top/>
      <bottom style="medium">
        <color rgb="FF000000"/>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0" fontId="23" fillId="0" borderId="0" applyNumberFormat="0" applyFill="0" applyBorder="0" applyProtection="0"/>
    <xf numFmtId="0" fontId="24" fillId="0" borderId="0"/>
    <xf numFmtId="0" fontId="87" fillId="0" borderId="0" applyNumberFormat="0" applyFill="0" applyBorder="0" applyProtection="0">
      <alignment vertical="top"/>
    </xf>
    <xf numFmtId="43" fontId="1" fillId="0" borderId="0" applyFont="0" applyFill="0" applyBorder="0" applyAlignment="0" applyProtection="0"/>
    <xf numFmtId="43" fontId="1" fillId="0" borderId="0" applyFont="0" applyFill="0" applyBorder="0" applyAlignment="0" applyProtection="0"/>
  </cellStyleXfs>
  <cellXfs count="1611">
    <xf numFmtId="0" fontId="0" fillId="0" borderId="0" xfId="0"/>
    <xf numFmtId="0" fontId="4" fillId="2" borderId="0" xfId="0" applyFont="1" applyFill="1"/>
    <xf numFmtId="0" fontId="7" fillId="0" borderId="0" xfId="0" applyFont="1"/>
    <xf numFmtId="0" fontId="4" fillId="0" borderId="0" xfId="0" applyFont="1" applyAlignment="1">
      <alignment horizontal="center"/>
    </xf>
    <xf numFmtId="0" fontId="4" fillId="0" borderId="0" xfId="0" applyFont="1" applyAlignment="1">
      <alignment horizontal="center" wrapText="1"/>
    </xf>
    <xf numFmtId="0" fontId="6" fillId="2" borderId="11" xfId="0" applyFont="1" applyFill="1" applyBorder="1" applyAlignment="1">
      <alignment horizontal="center" vertical="center"/>
    </xf>
    <xf numFmtId="0" fontId="9" fillId="2" borderId="11" xfId="0" applyFont="1" applyFill="1" applyBorder="1" applyAlignment="1">
      <alignment horizontal="left" vertical="center" wrapText="1"/>
    </xf>
    <xf numFmtId="0" fontId="6" fillId="2" borderId="12"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9" fillId="2" borderId="12" xfId="0" applyFont="1" applyFill="1" applyBorder="1" applyAlignment="1">
      <alignment horizontal="center" vertical="center"/>
    </xf>
    <xf numFmtId="0" fontId="6" fillId="2" borderId="16" xfId="0" applyFont="1" applyFill="1" applyBorder="1" applyAlignment="1">
      <alignment horizontal="center" vertical="center" wrapText="1"/>
    </xf>
    <xf numFmtId="0" fontId="6" fillId="2" borderId="7" xfId="0" applyFont="1" applyFill="1" applyBorder="1" applyAlignment="1">
      <alignment horizontal="center" vertical="center" wrapText="1"/>
    </xf>
    <xf numFmtId="14" fontId="6" fillId="2" borderId="7" xfId="0" applyNumberFormat="1" applyFont="1" applyFill="1" applyBorder="1" applyAlignment="1">
      <alignment horizontal="center" vertical="center"/>
    </xf>
    <xf numFmtId="0" fontId="4" fillId="2" borderId="0" xfId="0" applyFont="1" applyFill="1" applyAlignment="1">
      <alignment horizontal="center"/>
    </xf>
    <xf numFmtId="0" fontId="6" fillId="0" borderId="11" xfId="0" applyFont="1" applyBorder="1" applyAlignment="1">
      <alignment horizontal="center" vertical="center"/>
    </xf>
    <xf numFmtId="0" fontId="11" fillId="0" borderId="17" xfId="0" applyFont="1" applyBorder="1" applyAlignment="1">
      <alignment horizontal="left" vertical="center" wrapText="1"/>
    </xf>
    <xf numFmtId="0" fontId="11" fillId="0" borderId="18" xfId="0" applyFont="1" applyBorder="1" applyAlignment="1">
      <alignment horizontal="center" vertical="center" wrapText="1"/>
    </xf>
    <xf numFmtId="0" fontId="11" fillId="0" borderId="18" xfId="0" applyFont="1" applyBorder="1" applyAlignment="1">
      <alignment horizontal="center" vertical="center"/>
    </xf>
    <xf numFmtId="164" fontId="11" fillId="0" borderId="12" xfId="2" applyNumberFormat="1" applyFont="1" applyFill="1" applyBorder="1" applyAlignment="1">
      <alignment horizontal="center" vertical="center"/>
    </xf>
    <xf numFmtId="14" fontId="6" fillId="2" borderId="16" xfId="0" applyNumberFormat="1" applyFont="1" applyFill="1" applyBorder="1" applyAlignment="1">
      <alignment horizontal="center" vertical="center"/>
    </xf>
    <xf numFmtId="0" fontId="4" fillId="0" borderId="0" xfId="0" applyFont="1"/>
    <xf numFmtId="164" fontId="11" fillId="0" borderId="18" xfId="2" applyNumberFormat="1" applyFont="1" applyFill="1" applyBorder="1" applyAlignment="1">
      <alignment horizontal="center" vertical="center"/>
    </xf>
    <xf numFmtId="0" fontId="11" fillId="0" borderId="17" xfId="0" applyFont="1" applyBorder="1" applyAlignment="1">
      <alignment horizontal="left" vertical="center"/>
    </xf>
    <xf numFmtId="0" fontId="12" fillId="0" borderId="18" xfId="0" applyFont="1" applyBorder="1" applyAlignment="1">
      <alignment horizontal="center" vertical="center" wrapText="1"/>
    </xf>
    <xf numFmtId="164" fontId="12" fillId="2" borderId="18" xfId="0" applyNumberFormat="1" applyFont="1" applyFill="1" applyBorder="1" applyAlignment="1">
      <alignment horizontal="center" vertical="center" wrapText="1"/>
    </xf>
    <xf numFmtId="0" fontId="12" fillId="0" borderId="17" xfId="0" applyFont="1" applyBorder="1" applyAlignment="1">
      <alignment vertical="center" wrapText="1"/>
    </xf>
    <xf numFmtId="0" fontId="9" fillId="0" borderId="17" xfId="0" applyFont="1" applyBorder="1" applyAlignment="1">
      <alignment horizontal="left" vertical="center" wrapText="1"/>
    </xf>
    <xf numFmtId="0" fontId="6" fillId="0" borderId="18"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8" xfId="0" applyFont="1" applyBorder="1" applyAlignment="1">
      <alignment horizontal="center" vertical="center"/>
    </xf>
    <xf numFmtId="164" fontId="10" fillId="0" borderId="18" xfId="0" applyNumberFormat="1" applyFont="1" applyBorder="1" applyAlignment="1">
      <alignment horizontal="center" vertical="center"/>
    </xf>
    <xf numFmtId="164" fontId="6" fillId="0" borderId="18" xfId="2" applyNumberFormat="1" applyFont="1" applyFill="1" applyBorder="1" applyAlignment="1">
      <alignment horizontal="center" vertical="center"/>
    </xf>
    <xf numFmtId="0" fontId="9" fillId="0" borderId="17" xfId="0" applyFont="1" applyBorder="1" applyAlignment="1">
      <alignment vertical="center" wrapText="1"/>
    </xf>
    <xf numFmtId="0" fontId="9" fillId="0" borderId="18" xfId="0" applyFont="1" applyBorder="1" applyAlignment="1">
      <alignment horizontal="center" vertical="center"/>
    </xf>
    <xf numFmtId="0" fontId="9" fillId="0" borderId="17" xfId="0" applyFont="1" applyBorder="1" applyAlignment="1">
      <alignment horizontal="justify" vertical="center" wrapText="1"/>
    </xf>
    <xf numFmtId="164" fontId="12" fillId="0" borderId="18" xfId="0" applyNumberFormat="1" applyFont="1" applyBorder="1" applyAlignment="1">
      <alignment horizontal="center" vertical="center" wrapText="1"/>
    </xf>
    <xf numFmtId="164" fontId="11" fillId="0" borderId="18" xfId="0" applyNumberFormat="1" applyFont="1" applyBorder="1" applyAlignment="1">
      <alignment horizontal="center" vertical="center"/>
    </xf>
    <xf numFmtId="0" fontId="6" fillId="2" borderId="17" xfId="0" applyFont="1" applyFill="1" applyBorder="1" applyAlignment="1">
      <alignment horizontal="left" vertical="center" wrapText="1"/>
    </xf>
    <xf numFmtId="0" fontId="6" fillId="2" borderId="18" xfId="0" applyFont="1" applyFill="1" applyBorder="1" applyAlignment="1">
      <alignment horizontal="center" vertical="center"/>
    </xf>
    <xf numFmtId="164" fontId="6" fillId="0" borderId="18" xfId="0" applyNumberFormat="1" applyFont="1" applyBorder="1" applyAlignment="1">
      <alignment horizontal="center" vertical="center"/>
    </xf>
    <xf numFmtId="0" fontId="13" fillId="2" borderId="16" xfId="0" applyFont="1" applyFill="1" applyBorder="1" applyAlignment="1">
      <alignment horizontal="center" vertical="center" wrapText="1"/>
    </xf>
    <xf numFmtId="164" fontId="9" fillId="0" borderId="18" xfId="0" applyNumberFormat="1" applyFont="1" applyBorder="1" applyAlignment="1">
      <alignment horizontal="center" vertical="center"/>
    </xf>
    <xf numFmtId="0" fontId="10" fillId="2" borderId="17" xfId="0" applyFont="1" applyFill="1" applyBorder="1" applyAlignment="1">
      <alignment horizontal="justify" vertical="center" wrapText="1"/>
    </xf>
    <xf numFmtId="0" fontId="6" fillId="2" borderId="18" xfId="0" applyFont="1" applyFill="1" applyBorder="1" applyAlignment="1">
      <alignment horizontal="center" vertical="center" wrapText="1"/>
    </xf>
    <xf numFmtId="0" fontId="10" fillId="2" borderId="18" xfId="0" applyFont="1" applyFill="1" applyBorder="1" applyAlignment="1">
      <alignment horizontal="center" vertical="center" wrapText="1"/>
    </xf>
    <xf numFmtId="0" fontId="10" fillId="2" borderId="18" xfId="0" applyFont="1" applyFill="1" applyBorder="1" applyAlignment="1">
      <alignment horizontal="center" vertical="center"/>
    </xf>
    <xf numFmtId="164" fontId="6" fillId="2" borderId="18" xfId="2" applyNumberFormat="1" applyFont="1" applyFill="1" applyBorder="1" applyAlignment="1">
      <alignment horizontal="center" vertical="center"/>
    </xf>
    <xf numFmtId="164" fontId="6" fillId="2" borderId="20" xfId="2" applyNumberFormat="1" applyFont="1" applyFill="1" applyBorder="1" applyAlignment="1">
      <alignment horizontal="center" vertical="center"/>
    </xf>
    <xf numFmtId="0" fontId="12" fillId="2" borderId="18"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17" xfId="0" applyFont="1" applyFill="1" applyBorder="1" applyAlignment="1">
      <alignment horizontal="left" vertical="center" wrapText="1"/>
    </xf>
    <xf numFmtId="0" fontId="11" fillId="2" borderId="18" xfId="0" applyFont="1" applyFill="1" applyBorder="1" applyAlignment="1">
      <alignment horizontal="center" vertical="center" wrapText="1"/>
    </xf>
    <xf numFmtId="0" fontId="11" fillId="2" borderId="18" xfId="0" applyFont="1" applyFill="1" applyBorder="1" applyAlignment="1">
      <alignment horizontal="center" vertical="center"/>
    </xf>
    <xf numFmtId="0" fontId="4" fillId="0" borderId="18" xfId="0" applyFont="1" applyBorder="1" applyAlignment="1">
      <alignment horizontal="center" vertical="center"/>
    </xf>
    <xf numFmtId="0" fontId="6" fillId="0" borderId="24" xfId="0" applyFont="1" applyBorder="1" applyAlignment="1">
      <alignment horizontal="center" vertical="center"/>
    </xf>
    <xf numFmtId="0" fontId="11" fillId="0" borderId="25" xfId="0" applyFont="1" applyBorder="1" applyAlignment="1">
      <alignment horizontal="left" vertical="center"/>
    </xf>
    <xf numFmtId="0" fontId="4" fillId="0" borderId="26" xfId="0" applyFont="1" applyBorder="1" applyAlignment="1">
      <alignment horizontal="center" vertical="center"/>
    </xf>
    <xf numFmtId="0" fontId="11" fillId="0" borderId="26" xfId="0" applyFont="1" applyBorder="1" applyAlignment="1">
      <alignment horizontal="center" vertical="center"/>
    </xf>
    <xf numFmtId="164" fontId="11" fillId="0" borderId="26" xfId="0" applyNumberFormat="1" applyFont="1" applyBorder="1" applyAlignment="1">
      <alignment vertical="center"/>
    </xf>
    <xf numFmtId="0" fontId="6" fillId="2" borderId="10" xfId="0" applyFont="1" applyFill="1" applyBorder="1" applyAlignment="1">
      <alignment horizontal="center" vertical="center" wrapText="1"/>
    </xf>
    <xf numFmtId="14" fontId="6" fillId="2" borderId="10" xfId="0" applyNumberFormat="1" applyFont="1" applyFill="1" applyBorder="1" applyAlignment="1">
      <alignment horizontal="center" vertical="center"/>
    </xf>
    <xf numFmtId="0" fontId="11" fillId="0" borderId="0" xfId="0" applyFont="1" applyAlignment="1">
      <alignment horizontal="center"/>
    </xf>
    <xf numFmtId="0" fontId="11" fillId="0" borderId="0" xfId="0" applyFont="1"/>
    <xf numFmtId="164" fontId="11" fillId="0" borderId="0" xfId="0" applyNumberFormat="1" applyFont="1"/>
    <xf numFmtId="164" fontId="4" fillId="0" borderId="0" xfId="0" applyNumberFormat="1" applyFont="1" applyAlignment="1">
      <alignment horizontal="center"/>
    </xf>
    <xf numFmtId="14" fontId="4" fillId="0" borderId="0" xfId="0" applyNumberFormat="1" applyFont="1"/>
    <xf numFmtId="0" fontId="16" fillId="4" borderId="6" xfId="0" applyFont="1" applyFill="1" applyBorder="1" applyAlignment="1">
      <alignment horizontal="center" vertical="center"/>
    </xf>
    <xf numFmtId="0" fontId="16" fillId="4" borderId="6" xfId="0" applyFont="1" applyFill="1" applyBorder="1" applyAlignment="1">
      <alignment horizontal="center" vertical="center" wrapText="1"/>
    </xf>
    <xf numFmtId="0" fontId="16" fillId="3" borderId="16" xfId="0" applyFont="1" applyFill="1" applyBorder="1" applyAlignment="1">
      <alignment horizontal="center"/>
    </xf>
    <xf numFmtId="6" fontId="16" fillId="3" borderId="16" xfId="0" applyNumberFormat="1" applyFont="1" applyFill="1" applyBorder="1" applyAlignment="1">
      <alignment horizontal="center"/>
    </xf>
    <xf numFmtId="0" fontId="16" fillId="3" borderId="30" xfId="0" applyFont="1" applyFill="1" applyBorder="1" applyAlignment="1">
      <alignment horizontal="center"/>
    </xf>
    <xf numFmtId="6" fontId="16" fillId="3" borderId="30" xfId="0" applyNumberFormat="1" applyFont="1" applyFill="1" applyBorder="1" applyAlignment="1">
      <alignment horizontal="center"/>
    </xf>
    <xf numFmtId="0" fontId="16" fillId="3" borderId="10" xfId="0" applyFont="1" applyFill="1" applyBorder="1" applyAlignment="1">
      <alignment horizontal="center"/>
    </xf>
    <xf numFmtId="6" fontId="16" fillId="3" borderId="10" xfId="0" applyNumberFormat="1" applyFont="1" applyFill="1" applyBorder="1" applyAlignment="1">
      <alignment horizontal="center"/>
    </xf>
    <xf numFmtId="0" fontId="16" fillId="0" borderId="0" xfId="0" applyFont="1"/>
    <xf numFmtId="0" fontId="11" fillId="0" borderId="21" xfId="0" applyFont="1" applyBorder="1" applyAlignment="1">
      <alignment horizontal="left" vertical="center" wrapText="1"/>
    </xf>
    <xf numFmtId="0" fontId="11" fillId="0" borderId="23" xfId="0" applyFont="1" applyBorder="1" applyAlignment="1">
      <alignment horizontal="center" vertical="center" wrapText="1"/>
    </xf>
    <xf numFmtId="0" fontId="4" fillId="0" borderId="0" xfId="0" applyFont="1" applyAlignment="1">
      <alignment horizontal="left"/>
    </xf>
    <xf numFmtId="0" fontId="4" fillId="0" borderId="0" xfId="0" applyFont="1" applyAlignment="1">
      <alignment horizontal="center" vertical="center"/>
    </xf>
    <xf numFmtId="0" fontId="27" fillId="0" borderId="18" xfId="0" applyFont="1" applyBorder="1"/>
    <xf numFmtId="0" fontId="28" fillId="0" borderId="18" xfId="0" applyFont="1" applyBorder="1" applyAlignment="1">
      <alignment horizontal="center" vertical="center" wrapText="1"/>
    </xf>
    <xf numFmtId="165" fontId="11" fillId="5" borderId="18" xfId="1" applyNumberFormat="1" applyFont="1" applyFill="1" applyBorder="1" applyAlignment="1">
      <alignment vertical="center"/>
    </xf>
    <xf numFmtId="165" fontId="11" fillId="6" borderId="18" xfId="1" applyNumberFormat="1" applyFont="1" applyFill="1" applyBorder="1" applyAlignment="1">
      <alignment vertical="center"/>
    </xf>
    <xf numFmtId="0" fontId="27" fillId="0" borderId="6" xfId="0" applyFont="1" applyBorder="1" applyAlignment="1">
      <alignment wrapText="1"/>
    </xf>
    <xf numFmtId="0" fontId="4" fillId="0" borderId="0" xfId="0" applyFont="1" applyAlignment="1">
      <alignment horizontal="center" vertical="center" wrapText="1"/>
    </xf>
    <xf numFmtId="0" fontId="29" fillId="0" borderId="18" xfId="0" applyFont="1" applyBorder="1" applyAlignment="1">
      <alignment horizontal="left" vertical="center" wrapText="1"/>
    </xf>
    <xf numFmtId="0" fontId="28" fillId="0" borderId="18" xfId="0" applyFont="1" applyBorder="1" applyAlignment="1">
      <alignment horizontal="left" vertical="center" wrapText="1"/>
    </xf>
    <xf numFmtId="165" fontId="28" fillId="6" borderId="18" xfId="1" applyNumberFormat="1" applyFont="1" applyFill="1" applyBorder="1" applyAlignment="1">
      <alignment horizontal="right" vertical="center"/>
    </xf>
    <xf numFmtId="165" fontId="28" fillId="5" borderId="18" xfId="1" applyNumberFormat="1" applyFont="1" applyFill="1" applyBorder="1" applyAlignment="1">
      <alignment horizontal="right" vertical="center"/>
    </xf>
    <xf numFmtId="0" fontId="27" fillId="0" borderId="39" xfId="0" applyFont="1" applyBorder="1" applyAlignment="1">
      <alignment vertical="center" wrapText="1"/>
    </xf>
    <xf numFmtId="0" fontId="30" fillId="0" borderId="18" xfId="0" applyFont="1" applyBorder="1"/>
    <xf numFmtId="0" fontId="10" fillId="2" borderId="4" xfId="0" applyFont="1" applyFill="1" applyBorder="1" applyAlignment="1">
      <alignment vertical="center" wrapText="1"/>
    </xf>
    <xf numFmtId="0" fontId="28" fillId="2" borderId="0" xfId="0" applyFont="1" applyFill="1" applyAlignment="1">
      <alignment horizontal="center" vertical="center" wrapText="1"/>
    </xf>
    <xf numFmtId="165" fontId="11" fillId="2" borderId="0" xfId="1" applyNumberFormat="1" applyFont="1" applyFill="1" applyBorder="1" applyAlignment="1">
      <alignment vertical="center"/>
    </xf>
    <xf numFmtId="165" fontId="28" fillId="2" borderId="0" xfId="1" applyNumberFormat="1" applyFont="1" applyFill="1" applyBorder="1" applyAlignment="1">
      <alignment vertical="center"/>
    </xf>
    <xf numFmtId="0" fontId="11" fillId="2" borderId="0" xfId="0" applyFont="1" applyFill="1" applyAlignment="1">
      <alignment vertical="center" wrapText="1"/>
    </xf>
    <xf numFmtId="0" fontId="11" fillId="2" borderId="0" xfId="0" applyFont="1" applyFill="1" applyAlignment="1">
      <alignment horizontal="center" vertical="center"/>
    </xf>
    <xf numFmtId="0" fontId="10" fillId="2" borderId="40" xfId="0" applyFont="1" applyFill="1" applyBorder="1" applyAlignment="1">
      <alignment horizontal="left" vertical="center" wrapText="1"/>
    </xf>
    <xf numFmtId="0" fontId="28" fillId="2" borderId="29" xfId="0" applyFont="1" applyFill="1" applyBorder="1" applyAlignment="1">
      <alignment horizontal="center" vertical="center" wrapText="1"/>
    </xf>
    <xf numFmtId="165" fontId="11" fillId="2" borderId="29" xfId="1" applyNumberFormat="1" applyFont="1" applyFill="1" applyBorder="1" applyAlignment="1">
      <alignment vertical="center"/>
    </xf>
    <xf numFmtId="0" fontId="11" fillId="2" borderId="29" xfId="0" applyFont="1" applyFill="1" applyBorder="1" applyAlignment="1">
      <alignment horizontal="center" vertical="center"/>
    </xf>
    <xf numFmtId="0" fontId="16" fillId="0" borderId="9" xfId="0" applyFont="1" applyBorder="1" applyAlignment="1">
      <alignment vertical="center"/>
    </xf>
    <xf numFmtId="0" fontId="4" fillId="0" borderId="0" xfId="0" applyFont="1" applyAlignment="1">
      <alignment vertical="center"/>
    </xf>
    <xf numFmtId="0" fontId="31" fillId="0" borderId="0" xfId="0" applyFont="1" applyAlignment="1">
      <alignment vertical="center" wrapText="1"/>
    </xf>
    <xf numFmtId="0" fontId="32" fillId="0" borderId="0" xfId="0" applyFont="1" applyAlignment="1">
      <alignment vertical="center" wrapText="1"/>
    </xf>
    <xf numFmtId="0" fontId="32" fillId="0" borderId="0" xfId="0" applyFont="1"/>
    <xf numFmtId="0" fontId="39" fillId="0" borderId="0" xfId="0" applyFont="1" applyAlignment="1">
      <alignment vertical="center"/>
    </xf>
    <xf numFmtId="0" fontId="40" fillId="0" borderId="0" xfId="0" applyFont="1"/>
    <xf numFmtId="0" fontId="39" fillId="0" borderId="0" xfId="0" applyFont="1" applyAlignment="1">
      <alignment horizontal="center" vertical="center" wrapText="1"/>
    </xf>
    <xf numFmtId="0" fontId="26" fillId="0" borderId="0" xfId="0" applyFont="1" applyAlignment="1">
      <alignment vertical="center"/>
    </xf>
    <xf numFmtId="0" fontId="41" fillId="0" borderId="17" xfId="0" applyFont="1" applyBorder="1" applyAlignment="1">
      <alignment horizontal="center" vertical="center" wrapText="1"/>
    </xf>
    <xf numFmtId="164" fontId="41" fillId="0" borderId="18" xfId="0" applyNumberFormat="1" applyFont="1" applyBorder="1" applyAlignment="1">
      <alignment horizontal="center" vertical="center" wrapText="1"/>
    </xf>
    <xf numFmtId="164" fontId="41" fillId="0" borderId="47" xfId="0" applyNumberFormat="1" applyFont="1" applyBorder="1" applyAlignment="1">
      <alignment horizontal="center" vertical="center" wrapText="1"/>
    </xf>
    <xf numFmtId="164" fontId="41" fillId="0" borderId="0" xfId="0" applyNumberFormat="1" applyFont="1" applyAlignment="1">
      <alignment horizontal="center" vertical="center" wrapText="1"/>
    </xf>
    <xf numFmtId="0" fontId="41" fillId="0" borderId="25" xfId="0" applyFont="1" applyBorder="1" applyAlignment="1">
      <alignment horizontal="center" vertical="center" wrapText="1"/>
    </xf>
    <xf numFmtId="0" fontId="41" fillId="0" borderId="26" xfId="0" applyFont="1" applyBorder="1" applyAlignment="1">
      <alignment horizontal="center" vertical="center" wrapText="1"/>
    </xf>
    <xf numFmtId="164" fontId="41" fillId="0" borderId="48" xfId="0" applyNumberFormat="1" applyFont="1" applyBorder="1" applyAlignment="1">
      <alignment horizontal="center" vertical="center" wrapText="1"/>
    </xf>
    <xf numFmtId="0" fontId="41" fillId="0" borderId="0" xfId="0" applyFont="1" applyAlignment="1">
      <alignment horizontal="center" vertical="center" wrapText="1"/>
    </xf>
    <xf numFmtId="0" fontId="38" fillId="10" borderId="18" xfId="0" applyFont="1" applyFill="1" applyBorder="1" applyAlignment="1">
      <alignment horizontal="center" vertical="center"/>
    </xf>
    <xf numFmtId="0" fontId="38" fillId="10" borderId="20" xfId="0" applyFont="1" applyFill="1" applyBorder="1" applyAlignment="1">
      <alignment horizontal="center" vertical="center"/>
    </xf>
    <xf numFmtId="0" fontId="38" fillId="10" borderId="17" xfId="0" applyFont="1" applyFill="1" applyBorder="1" applyAlignment="1">
      <alignment horizontal="center" vertical="center"/>
    </xf>
    <xf numFmtId="0" fontId="38" fillId="10" borderId="47" xfId="0" applyFont="1" applyFill="1" applyBorder="1" applyAlignment="1">
      <alignment horizontal="center" vertical="center" wrapText="1"/>
    </xf>
    <xf numFmtId="0" fontId="41" fillId="0" borderId="18" xfId="0" applyFont="1" applyBorder="1" applyAlignment="1">
      <alignment horizontal="center" vertical="top" wrapText="1"/>
    </xf>
    <xf numFmtId="6" fontId="43" fillId="0" borderId="18" xfId="0" applyNumberFormat="1" applyFont="1" applyBorder="1" applyAlignment="1">
      <alignment horizontal="center" vertical="center" wrapText="1"/>
    </xf>
    <xf numFmtId="6" fontId="43" fillId="0" borderId="20" xfId="0" applyNumberFormat="1" applyFont="1" applyBorder="1" applyAlignment="1">
      <alignment horizontal="center" vertical="center" wrapText="1"/>
    </xf>
    <xf numFmtId="6" fontId="44" fillId="0" borderId="17" xfId="0" applyNumberFormat="1" applyFont="1" applyBorder="1" applyAlignment="1">
      <alignment horizontal="center" vertical="center"/>
    </xf>
    <xf numFmtId="0" fontId="41" fillId="0" borderId="18" xfId="0" applyFont="1" applyBorder="1"/>
    <xf numFmtId="0" fontId="41" fillId="0" borderId="47" xfId="0" applyFont="1" applyBorder="1"/>
    <xf numFmtId="6" fontId="43" fillId="0" borderId="47" xfId="0" applyNumberFormat="1" applyFont="1" applyBorder="1" applyAlignment="1">
      <alignment horizontal="center" vertical="center" wrapText="1"/>
    </xf>
    <xf numFmtId="0" fontId="41" fillId="0" borderId="18" xfId="0" applyFont="1" applyBorder="1" applyAlignment="1">
      <alignment horizontal="center"/>
    </xf>
    <xf numFmtId="0" fontId="41" fillId="0" borderId="20" xfId="0" applyFont="1" applyBorder="1" applyAlignment="1">
      <alignment horizontal="center"/>
    </xf>
    <xf numFmtId="0" fontId="41" fillId="0" borderId="25" xfId="0" applyFont="1" applyBorder="1"/>
    <xf numFmtId="0" fontId="41" fillId="0" borderId="26" xfId="0" applyFont="1" applyBorder="1"/>
    <xf numFmtId="0" fontId="41" fillId="0" borderId="48" xfId="0" applyFont="1" applyBorder="1"/>
    <xf numFmtId="0" fontId="41" fillId="0" borderId="12" xfId="0" applyFont="1" applyBorder="1"/>
    <xf numFmtId="0" fontId="41" fillId="0" borderId="46" xfId="0" applyFont="1" applyBorder="1"/>
    <xf numFmtId="0" fontId="40" fillId="0" borderId="5" xfId="0" applyFont="1" applyBorder="1"/>
    <xf numFmtId="164" fontId="41" fillId="0" borderId="0" xfId="0" applyNumberFormat="1" applyFont="1" applyAlignment="1">
      <alignment vertical="center" wrapText="1"/>
    </xf>
    <xf numFmtId="0" fontId="9" fillId="0" borderId="56" xfId="0" applyFont="1" applyBorder="1" applyAlignment="1">
      <alignment vertical="center"/>
    </xf>
    <xf numFmtId="0" fontId="11" fillId="0" borderId="11" xfId="0" applyFont="1" applyBorder="1" applyAlignment="1">
      <alignment horizontal="center" vertical="center"/>
    </xf>
    <xf numFmtId="0" fontId="12" fillId="0" borderId="11" xfId="0" applyFont="1" applyBorder="1" applyAlignment="1">
      <alignment vertical="center" wrapText="1"/>
    </xf>
    <xf numFmtId="0" fontId="12" fillId="0" borderId="12" xfId="0" applyFont="1" applyBorder="1" applyAlignment="1">
      <alignment horizontal="center" vertical="center" wrapText="1"/>
    </xf>
    <xf numFmtId="0" fontId="28" fillId="0" borderId="12" xfId="0" applyFont="1" applyBorder="1" applyAlignment="1">
      <alignment horizontal="center" vertical="center" wrapText="1"/>
    </xf>
    <xf numFmtId="0" fontId="12" fillId="0" borderId="12" xfId="0" applyFont="1" applyBorder="1" applyAlignment="1">
      <alignment horizontal="center" vertical="center"/>
    </xf>
    <xf numFmtId="164" fontId="28" fillId="0" borderId="12" xfId="1" applyNumberFormat="1" applyFont="1" applyFill="1" applyBorder="1" applyAlignment="1">
      <alignment horizontal="center" vertical="center"/>
    </xf>
    <xf numFmtId="0" fontId="4" fillId="0" borderId="46" xfId="0" applyFont="1" applyBorder="1" applyAlignment="1">
      <alignment vertical="center"/>
    </xf>
    <xf numFmtId="14" fontId="15" fillId="0" borderId="58" xfId="0" applyNumberFormat="1" applyFont="1" applyBorder="1" applyAlignment="1">
      <alignment horizontal="center" vertical="center" wrapText="1"/>
    </xf>
    <xf numFmtId="0" fontId="11" fillId="0" borderId="17" xfId="0" applyFont="1" applyBorder="1" applyAlignment="1">
      <alignment horizontal="center" vertical="center"/>
    </xf>
    <xf numFmtId="0" fontId="12" fillId="0" borderId="20" xfId="0" applyFont="1" applyBorder="1" applyAlignment="1">
      <alignment horizontal="center" vertical="center" wrapText="1"/>
    </xf>
    <xf numFmtId="0" fontId="28" fillId="0" borderId="31" xfId="0" applyFont="1" applyBorder="1" applyAlignment="1">
      <alignment horizontal="center" vertical="center"/>
    </xf>
    <xf numFmtId="0" fontId="28" fillId="0" borderId="18" xfId="0" applyFont="1" applyBorder="1" applyAlignment="1">
      <alignment horizontal="center" vertical="center"/>
    </xf>
    <xf numFmtId="0" fontId="4" fillId="0" borderId="47" xfId="0" applyFont="1" applyBorder="1" applyAlignment="1">
      <alignment vertical="center"/>
    </xf>
    <xf numFmtId="0" fontId="12" fillId="2" borderId="17" xfId="0" applyFont="1" applyFill="1" applyBorder="1" applyAlignment="1">
      <alignment vertical="center" wrapText="1"/>
    </xf>
    <xf numFmtId="0" fontId="12" fillId="0" borderId="31" xfId="0" applyFont="1" applyBorder="1" applyAlignment="1">
      <alignment horizontal="center" vertical="center"/>
    </xf>
    <xf numFmtId="0" fontId="12" fillId="0" borderId="18" xfId="0" applyFont="1" applyBorder="1" applyAlignment="1">
      <alignment horizontal="center" vertical="center"/>
    </xf>
    <xf numFmtId="164" fontId="28" fillId="6" borderId="18" xfId="1" applyNumberFormat="1" applyFont="1" applyFill="1" applyBorder="1" applyAlignment="1">
      <alignment horizontal="center" vertical="center"/>
    </xf>
    <xf numFmtId="164" fontId="28" fillId="0" borderId="18" xfId="1" applyNumberFormat="1" applyFont="1" applyFill="1" applyBorder="1" applyAlignment="1">
      <alignment horizontal="center" vertical="center"/>
    </xf>
    <xf numFmtId="0" fontId="4" fillId="2" borderId="47" xfId="0" applyFont="1" applyFill="1" applyBorder="1" applyAlignment="1">
      <alignment horizontal="left" vertical="center" wrapText="1"/>
    </xf>
    <xf numFmtId="14" fontId="15" fillId="0" borderId="59" xfId="0" applyNumberFormat="1" applyFont="1" applyBorder="1" applyAlignment="1">
      <alignment horizontal="center" vertical="center" wrapText="1"/>
    </xf>
    <xf numFmtId="0" fontId="28" fillId="2" borderId="17" xfId="0" applyFont="1" applyFill="1" applyBorder="1" applyAlignment="1">
      <alignment vertical="center" wrapText="1"/>
    </xf>
    <xf numFmtId="0" fontId="4" fillId="2" borderId="47" xfId="0" applyFont="1" applyFill="1" applyBorder="1" applyAlignment="1">
      <alignment vertical="center"/>
    </xf>
    <xf numFmtId="0" fontId="11" fillId="2" borderId="0" xfId="0" applyFont="1" applyFill="1" applyAlignment="1">
      <alignment horizontal="center"/>
    </xf>
    <xf numFmtId="1" fontId="28" fillId="0" borderId="20" xfId="0" applyNumberFormat="1" applyFont="1" applyBorder="1" applyAlignment="1">
      <alignment horizontal="center" vertical="center" wrapText="1"/>
    </xf>
    <xf numFmtId="164" fontId="28" fillId="6" borderId="12" xfId="1" applyNumberFormat="1" applyFont="1" applyFill="1" applyBorder="1" applyAlignment="1">
      <alignment horizontal="center" vertical="center"/>
    </xf>
    <xf numFmtId="0" fontId="12" fillId="2" borderId="31" xfId="0" applyFont="1" applyFill="1" applyBorder="1" applyAlignment="1">
      <alignment horizontal="center" vertical="center" wrapText="1"/>
    </xf>
    <xf numFmtId="14" fontId="15" fillId="2" borderId="59" xfId="0" applyNumberFormat="1" applyFont="1" applyFill="1" applyBorder="1" applyAlignment="1">
      <alignment horizontal="center" vertical="center" wrapText="1"/>
    </xf>
    <xf numFmtId="0" fontId="11" fillId="0" borderId="31" xfId="0" applyFont="1" applyBorder="1" applyAlignment="1">
      <alignment horizontal="center" vertical="center"/>
    </xf>
    <xf numFmtId="0" fontId="13" fillId="0" borderId="18" xfId="0" applyFont="1" applyBorder="1" applyAlignment="1">
      <alignment horizontal="center" vertical="center"/>
    </xf>
    <xf numFmtId="0" fontId="28" fillId="0" borderId="20" xfId="0" applyFont="1" applyBorder="1" applyAlignment="1">
      <alignment horizontal="center" vertical="center" wrapText="1"/>
    </xf>
    <xf numFmtId="0" fontId="46" fillId="0" borderId="47" xfId="0" applyFont="1" applyBorder="1" applyAlignment="1">
      <alignment vertical="center"/>
    </xf>
    <xf numFmtId="0" fontId="12" fillId="0" borderId="31" xfId="0" applyFont="1" applyBorder="1" applyAlignment="1">
      <alignment horizontal="center" vertical="center" wrapText="1"/>
    </xf>
    <xf numFmtId="0" fontId="11" fillId="0" borderId="60" xfId="0" applyFont="1" applyBorder="1" applyAlignment="1">
      <alignment horizontal="center" vertical="center"/>
    </xf>
    <xf numFmtId="0" fontId="4" fillId="0" borderId="36" xfId="0" applyFont="1" applyBorder="1" applyAlignment="1">
      <alignment horizontal="center" vertical="center"/>
    </xf>
    <xf numFmtId="0" fontId="4" fillId="0" borderId="18" xfId="0" applyFont="1" applyBorder="1"/>
    <xf numFmtId="0" fontId="11" fillId="0" borderId="18" xfId="0" applyFont="1" applyBorder="1" applyAlignment="1">
      <alignment horizontal="center"/>
    </xf>
    <xf numFmtId="164" fontId="28" fillId="0" borderId="31" xfId="1" applyNumberFormat="1" applyFont="1" applyFill="1" applyBorder="1" applyAlignment="1">
      <alignment horizontal="center" vertical="center"/>
    </xf>
    <xf numFmtId="0" fontId="11" fillId="0" borderId="17" xfId="0" applyFont="1" applyBorder="1" applyAlignment="1">
      <alignment vertical="center" wrapText="1"/>
    </xf>
    <xf numFmtId="0" fontId="11" fillId="0" borderId="20" xfId="0" applyFont="1" applyBorder="1" applyAlignment="1">
      <alignment horizontal="center" vertical="center" wrapText="1"/>
    </xf>
    <xf numFmtId="0" fontId="47" fillId="0" borderId="18" xfId="0" applyFont="1" applyBorder="1" applyAlignment="1">
      <alignment horizontal="center" vertical="center" wrapText="1"/>
    </xf>
    <xf numFmtId="8" fontId="47" fillId="0" borderId="18" xfId="0" applyNumberFormat="1" applyFont="1" applyBorder="1" applyAlignment="1">
      <alignment horizontal="center" vertical="center"/>
    </xf>
    <xf numFmtId="0" fontId="11" fillId="0" borderId="25" xfId="0" applyFont="1" applyBorder="1" applyAlignment="1">
      <alignment horizontal="center" vertical="center"/>
    </xf>
    <xf numFmtId="0" fontId="12" fillId="0" borderId="25" xfId="0" applyFont="1" applyBorder="1" applyAlignment="1">
      <alignment vertical="center" wrapText="1"/>
    </xf>
    <xf numFmtId="0" fontId="12" fillId="0" borderId="27" xfId="0" applyFont="1" applyBorder="1" applyAlignment="1">
      <alignment horizontal="center" vertical="center" wrapText="1"/>
    </xf>
    <xf numFmtId="0" fontId="4" fillId="0" borderId="26" xfId="0" applyFont="1" applyBorder="1"/>
    <xf numFmtId="0" fontId="12" fillId="0" borderId="61" xfId="0" applyFont="1" applyBorder="1" applyAlignment="1">
      <alignment horizontal="center" vertical="center" wrapText="1"/>
    </xf>
    <xf numFmtId="8" fontId="47" fillId="0" borderId="26" xfId="0" applyNumberFormat="1" applyFont="1" applyBorder="1" applyAlignment="1">
      <alignment horizontal="center" vertical="center"/>
    </xf>
    <xf numFmtId="164" fontId="28" fillId="0" borderId="57" xfId="1" applyNumberFormat="1" applyFont="1" applyFill="1" applyBorder="1" applyAlignment="1">
      <alignment horizontal="center" vertical="center"/>
    </xf>
    <xf numFmtId="0" fontId="4" fillId="0" borderId="48" xfId="0" applyFont="1" applyBorder="1" applyAlignment="1">
      <alignment vertical="center"/>
    </xf>
    <xf numFmtId="14" fontId="15" fillId="0" borderId="42" xfId="0" applyNumberFormat="1" applyFont="1" applyBorder="1" applyAlignment="1">
      <alignment horizontal="center" vertical="center" wrapText="1"/>
    </xf>
    <xf numFmtId="0" fontId="15" fillId="6" borderId="25" xfId="0" applyFont="1" applyFill="1" applyBorder="1" applyAlignment="1">
      <alignment vertical="center" wrapText="1"/>
    </xf>
    <xf numFmtId="0" fontId="12"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4" fillId="0" borderId="48" xfId="0" applyFont="1" applyBorder="1" applyAlignment="1">
      <alignment horizontal="center" vertical="center" wrapText="1"/>
    </xf>
    <xf numFmtId="0" fontId="11" fillId="0" borderId="8" xfId="0" applyFont="1" applyBorder="1"/>
    <xf numFmtId="0" fontId="11" fillId="0" borderId="0" xfId="0" applyFont="1" applyAlignment="1">
      <alignment horizontal="center" vertical="center"/>
    </xf>
    <xf numFmtId="0" fontId="11" fillId="0" borderId="64" xfId="0" applyFont="1" applyBorder="1" applyAlignment="1">
      <alignment horizontal="center" vertical="center"/>
    </xf>
    <xf numFmtId="164" fontId="28" fillId="0" borderId="50" xfId="1" applyNumberFormat="1" applyFont="1" applyFill="1" applyBorder="1" applyAlignment="1">
      <alignment horizontal="center" vertical="center"/>
    </xf>
    <xf numFmtId="0" fontId="11" fillId="0" borderId="50" xfId="0" applyFont="1" applyBorder="1"/>
    <xf numFmtId="0" fontId="11" fillId="0" borderId="18" xfId="0" applyFont="1" applyBorder="1"/>
    <xf numFmtId="0" fontId="11" fillId="0" borderId="66" xfId="0" applyFont="1" applyBorder="1" applyAlignment="1">
      <alignment horizontal="center" vertical="center"/>
    </xf>
    <xf numFmtId="164" fontId="28" fillId="0" borderId="26" xfId="1" applyNumberFormat="1" applyFont="1" applyFill="1" applyBorder="1" applyAlignment="1">
      <alignment horizontal="center" vertical="center"/>
    </xf>
    <xf numFmtId="0" fontId="11" fillId="0" borderId="26" xfId="0" applyFont="1" applyBorder="1"/>
    <xf numFmtId="0" fontId="11" fillId="0" borderId="0" xfId="0" applyFont="1" applyAlignment="1">
      <alignment wrapText="1"/>
    </xf>
    <xf numFmtId="0" fontId="17" fillId="0" borderId="0" xfId="0" applyFont="1" applyAlignment="1">
      <alignment horizontal="left" vertical="center" wrapText="1"/>
    </xf>
    <xf numFmtId="0" fontId="15" fillId="0" borderId="0" xfId="0" applyFont="1" applyAlignment="1">
      <alignment horizontal="center"/>
    </xf>
    <xf numFmtId="0" fontId="11" fillId="2" borderId="0" xfId="0" applyFont="1" applyFill="1"/>
    <xf numFmtId="0" fontId="16" fillId="3" borderId="17" xfId="0" applyFont="1" applyFill="1" applyBorder="1" applyAlignment="1">
      <alignment horizontal="center" wrapText="1"/>
    </xf>
    <xf numFmtId="6" fontId="16" fillId="3" borderId="47" xfId="0" applyNumberFormat="1" applyFont="1" applyFill="1" applyBorder="1" applyAlignment="1">
      <alignment horizontal="center"/>
    </xf>
    <xf numFmtId="0" fontId="16" fillId="3" borderId="67" xfId="0" applyFont="1" applyFill="1" applyBorder="1" applyAlignment="1">
      <alignment horizontal="center" wrapText="1"/>
    </xf>
    <xf numFmtId="6" fontId="16" fillId="3" borderId="54" xfId="0" applyNumberFormat="1" applyFont="1" applyFill="1" applyBorder="1" applyAlignment="1">
      <alignment horizontal="center"/>
    </xf>
    <xf numFmtId="0" fontId="16" fillId="3" borderId="25" xfId="0" applyFont="1" applyFill="1" applyBorder="1" applyAlignment="1">
      <alignment horizontal="center" wrapText="1"/>
    </xf>
    <xf numFmtId="6" fontId="16" fillId="3" borderId="48" xfId="0" applyNumberFormat="1" applyFont="1" applyFill="1" applyBorder="1" applyAlignment="1">
      <alignment horizontal="center"/>
    </xf>
    <xf numFmtId="0" fontId="4" fillId="0" borderId="0" xfId="0" applyFont="1" applyAlignment="1">
      <alignment wrapText="1"/>
    </xf>
    <xf numFmtId="0" fontId="17" fillId="0" borderId="68" xfId="0" applyFont="1" applyBorder="1" applyAlignment="1">
      <alignment vertical="center" wrapText="1"/>
    </xf>
    <xf numFmtId="0" fontId="11" fillId="0" borderId="68" xfId="0" applyFont="1" applyBorder="1" applyAlignment="1">
      <alignment vertical="center" wrapText="1"/>
    </xf>
    <xf numFmtId="0" fontId="11" fillId="0" borderId="0" xfId="0" applyFont="1" applyAlignment="1">
      <alignment horizontal="center" vertical="center" wrapText="1"/>
    </xf>
    <xf numFmtId="0" fontId="27" fillId="0" borderId="0" xfId="0" applyFont="1" applyAlignment="1">
      <alignment vertical="center"/>
    </xf>
    <xf numFmtId="0" fontId="51" fillId="0" borderId="11" xfId="0" applyFont="1" applyBorder="1" applyAlignment="1">
      <alignment horizontal="center" vertical="center"/>
    </xf>
    <xf numFmtId="0" fontId="9" fillId="0" borderId="71" xfId="0" applyFont="1" applyBorder="1" applyAlignment="1">
      <alignment horizontal="left" vertical="center" wrapText="1"/>
    </xf>
    <xf numFmtId="0" fontId="12" fillId="2" borderId="12" xfId="0" applyFont="1" applyFill="1" applyBorder="1" applyAlignment="1">
      <alignment horizontal="center" vertical="center" wrapText="1"/>
    </xf>
    <xf numFmtId="0" fontId="12" fillId="2" borderId="12" xfId="0" applyFont="1" applyFill="1" applyBorder="1" applyAlignment="1">
      <alignment horizontal="center" wrapText="1"/>
    </xf>
    <xf numFmtId="0" fontId="12" fillId="2" borderId="19" xfId="0" applyFont="1" applyFill="1" applyBorder="1" applyAlignment="1">
      <alignment horizontal="center" wrapText="1"/>
    </xf>
    <xf numFmtId="0" fontId="12" fillId="0" borderId="19" xfId="0" applyFont="1" applyBorder="1" applyAlignment="1">
      <alignment horizontal="center" vertical="center" wrapText="1"/>
    </xf>
    <xf numFmtId="166" fontId="12" fillId="0" borderId="11" xfId="2" applyNumberFormat="1" applyFont="1" applyBorder="1" applyAlignment="1">
      <alignment horizontal="center" vertical="center" wrapText="1"/>
    </xf>
    <xf numFmtId="166" fontId="12" fillId="0" borderId="12" xfId="2" applyNumberFormat="1" applyFont="1" applyBorder="1" applyAlignment="1">
      <alignment horizontal="center" vertical="center" wrapText="1"/>
    </xf>
    <xf numFmtId="166" fontId="12" fillId="0" borderId="46" xfId="2" applyNumberFormat="1" applyFont="1" applyBorder="1" applyAlignment="1">
      <alignment horizontal="center" vertical="center" wrapText="1"/>
    </xf>
    <xf numFmtId="166" fontId="12" fillId="5" borderId="11" xfId="2" applyNumberFormat="1" applyFont="1" applyFill="1" applyBorder="1" applyAlignment="1">
      <alignment vertical="center" wrapText="1"/>
    </xf>
    <xf numFmtId="166" fontId="12" fillId="5" borderId="12" xfId="2" applyNumberFormat="1" applyFont="1" applyFill="1" applyBorder="1" applyAlignment="1">
      <alignment vertical="center" wrapText="1"/>
    </xf>
    <xf numFmtId="166" fontId="12" fillId="6" borderId="12" xfId="2" applyNumberFormat="1" applyFont="1" applyFill="1" applyBorder="1" applyAlignment="1">
      <alignment vertical="center" wrapText="1"/>
    </xf>
    <xf numFmtId="166" fontId="12" fillId="6" borderId="46" xfId="2" applyNumberFormat="1" applyFont="1" applyFill="1" applyBorder="1" applyAlignment="1">
      <alignment vertical="center" wrapText="1"/>
    </xf>
    <xf numFmtId="0" fontId="12" fillId="2" borderId="56" xfId="0" applyFont="1" applyFill="1" applyBorder="1" applyAlignment="1">
      <alignment horizontal="center" vertical="center" wrapText="1"/>
    </xf>
    <xf numFmtId="0" fontId="52" fillId="2" borderId="72" xfId="0" applyFont="1" applyFill="1" applyBorder="1" applyAlignment="1">
      <alignment horizontal="center" vertical="center" wrapText="1"/>
    </xf>
    <xf numFmtId="49" fontId="15" fillId="0" borderId="6" xfId="0" applyNumberFormat="1" applyFont="1" applyBorder="1" applyAlignment="1">
      <alignment horizontal="center" vertical="center" wrapText="1"/>
    </xf>
    <xf numFmtId="0" fontId="51" fillId="0" borderId="17" xfId="0" applyFont="1" applyBorder="1" applyAlignment="1">
      <alignment horizontal="center" vertical="center"/>
    </xf>
    <xf numFmtId="0" fontId="9" fillId="0" borderId="31" xfId="0" applyFont="1" applyBorder="1" applyAlignment="1">
      <alignment horizontal="left" vertical="center" wrapText="1"/>
    </xf>
    <xf numFmtId="0" fontId="12" fillId="2" borderId="18" xfId="0" applyFont="1" applyFill="1" applyBorder="1" applyAlignment="1">
      <alignment horizontal="center" wrapText="1"/>
    </xf>
    <xf numFmtId="0" fontId="12" fillId="2" borderId="20" xfId="0" applyFont="1" applyFill="1" applyBorder="1" applyAlignment="1">
      <alignment horizontal="center" wrapText="1"/>
    </xf>
    <xf numFmtId="166" fontId="12" fillId="5" borderId="17" xfId="2" applyNumberFormat="1" applyFont="1" applyFill="1" applyBorder="1" applyAlignment="1">
      <alignment vertical="center" wrapText="1"/>
    </xf>
    <xf numFmtId="166" fontId="12" fillId="5" borderId="18" xfId="2" applyNumberFormat="1" applyFont="1" applyFill="1" applyBorder="1" applyAlignment="1">
      <alignment vertical="center" wrapText="1"/>
    </xf>
    <xf numFmtId="166" fontId="12" fillId="6" borderId="18" xfId="2" applyNumberFormat="1" applyFont="1" applyFill="1" applyBorder="1" applyAlignment="1">
      <alignment vertical="center" wrapText="1"/>
    </xf>
    <xf numFmtId="166" fontId="12" fillId="6" borderId="47" xfId="2" applyNumberFormat="1" applyFont="1" applyFill="1" applyBorder="1" applyAlignment="1">
      <alignment vertical="center" wrapText="1"/>
    </xf>
    <xf numFmtId="0" fontId="12" fillId="2" borderId="21" xfId="0" applyFont="1" applyFill="1" applyBorder="1" applyAlignment="1">
      <alignment horizontal="center" vertical="center" wrapText="1"/>
    </xf>
    <xf numFmtId="0" fontId="52" fillId="2" borderId="16" xfId="0" applyFont="1" applyFill="1" applyBorder="1" applyAlignment="1">
      <alignment horizontal="center" vertical="center" wrapText="1"/>
    </xf>
    <xf numFmtId="0" fontId="15" fillId="0" borderId="16" xfId="0" applyFont="1" applyBorder="1" applyAlignment="1">
      <alignment horizontal="center" vertical="center" wrapText="1"/>
    </xf>
    <xf numFmtId="0" fontId="9" fillId="0" borderId="31" xfId="0" applyFont="1" applyBorder="1" applyAlignment="1">
      <alignment horizontal="left" vertical="center"/>
    </xf>
    <xf numFmtId="166" fontId="12" fillId="0" borderId="17" xfId="2" applyNumberFormat="1" applyFont="1" applyBorder="1" applyAlignment="1">
      <alignment horizontal="center" vertical="center" wrapText="1"/>
    </xf>
    <xf numFmtId="166" fontId="12" fillId="0" borderId="18" xfId="2" applyNumberFormat="1" applyFont="1" applyBorder="1" applyAlignment="1">
      <alignment horizontal="center" vertical="center" wrapText="1"/>
    </xf>
    <xf numFmtId="166" fontId="12" fillId="0" borderId="47" xfId="2" applyNumberFormat="1" applyFont="1" applyBorder="1" applyAlignment="1">
      <alignment horizontal="center" vertical="center" wrapText="1"/>
    </xf>
    <xf numFmtId="0" fontId="12" fillId="2" borderId="21" xfId="0" applyFont="1" applyFill="1" applyBorder="1" applyAlignment="1">
      <alignment horizontal="center" vertical="center"/>
    </xf>
    <xf numFmtId="0" fontId="10" fillId="0" borderId="31" xfId="0" applyFont="1" applyBorder="1" applyAlignment="1">
      <alignment horizontal="left" vertical="center" wrapText="1"/>
    </xf>
    <xf numFmtId="166" fontId="28" fillId="0" borderId="17" xfId="2" applyNumberFormat="1" applyFont="1" applyBorder="1" applyAlignment="1">
      <alignment horizontal="center" vertical="center" wrapText="1"/>
    </xf>
    <xf numFmtId="166" fontId="28" fillId="0" borderId="18" xfId="2" applyNumberFormat="1" applyFont="1" applyBorder="1" applyAlignment="1">
      <alignment horizontal="center" vertical="center" wrapText="1"/>
    </xf>
    <xf numFmtId="166" fontId="28" fillId="0" borderId="47" xfId="2" applyNumberFormat="1" applyFont="1" applyBorder="1" applyAlignment="1">
      <alignment horizontal="center" vertical="center" wrapText="1"/>
    </xf>
    <xf numFmtId="0" fontId="12" fillId="2" borderId="16" xfId="0" applyFont="1" applyFill="1" applyBorder="1" applyAlignment="1">
      <alignment horizontal="center" vertical="center"/>
    </xf>
    <xf numFmtId="0" fontId="12" fillId="2" borderId="16" xfId="0" applyFont="1" applyFill="1" applyBorder="1" applyAlignment="1">
      <alignment horizontal="center" vertical="center" wrapText="1"/>
    </xf>
    <xf numFmtId="0" fontId="12" fillId="0" borderId="20" xfId="0" applyFont="1" applyBorder="1" applyAlignment="1">
      <alignment horizontal="center" vertical="center"/>
    </xf>
    <xf numFmtId="166" fontId="12" fillId="5" borderId="18" xfId="2" applyNumberFormat="1" applyFont="1" applyFill="1" applyBorder="1" applyAlignment="1">
      <alignment vertical="center"/>
    </xf>
    <xf numFmtId="166" fontId="12" fillId="6" borderId="47" xfId="2" applyNumberFormat="1" applyFont="1" applyFill="1" applyBorder="1" applyAlignment="1">
      <alignment vertical="center"/>
    </xf>
    <xf numFmtId="0" fontId="51" fillId="0" borderId="67" xfId="0" applyFont="1" applyBorder="1" applyAlignment="1">
      <alignment horizontal="center" vertical="center"/>
    </xf>
    <xf numFmtId="0" fontId="6" fillId="2" borderId="60" xfId="0" applyFont="1" applyFill="1" applyBorder="1" applyAlignment="1">
      <alignment horizontal="left" vertical="center" wrapText="1"/>
    </xf>
    <xf numFmtId="0" fontId="11" fillId="2" borderId="36" xfId="0" applyFont="1" applyFill="1" applyBorder="1" applyAlignment="1">
      <alignment horizontal="center" vertical="center" wrapText="1"/>
    </xf>
    <xf numFmtId="0" fontId="11" fillId="2" borderId="22" xfId="0" applyFont="1" applyFill="1" applyBorder="1" applyAlignment="1">
      <alignment horizontal="center" vertical="center" wrapText="1"/>
    </xf>
    <xf numFmtId="166" fontId="11" fillId="2" borderId="67" xfId="2" applyNumberFormat="1" applyFont="1" applyFill="1" applyBorder="1" applyAlignment="1">
      <alignment horizontal="center" vertical="center" wrapText="1"/>
    </xf>
    <xf numFmtId="166" fontId="11" fillId="2" borderId="36" xfId="2" applyNumberFormat="1" applyFont="1" applyFill="1" applyBorder="1" applyAlignment="1">
      <alignment horizontal="center" vertical="center" wrapText="1"/>
    </xf>
    <xf numFmtId="166" fontId="11" fillId="2" borderId="54" xfId="2" applyNumberFormat="1" applyFont="1" applyFill="1" applyBorder="1" applyAlignment="1">
      <alignment horizontal="center" vertical="center" wrapText="1"/>
    </xf>
    <xf numFmtId="166" fontId="11" fillId="5" borderId="67" xfId="2" applyNumberFormat="1" applyFont="1" applyFill="1" applyBorder="1" applyAlignment="1">
      <alignment vertical="center" wrapText="1"/>
    </xf>
    <xf numFmtId="166" fontId="11" fillId="5" borderId="36" xfId="2" applyNumberFormat="1" applyFont="1" applyFill="1" applyBorder="1" applyAlignment="1">
      <alignment vertical="center" wrapText="1"/>
    </xf>
    <xf numFmtId="166" fontId="11" fillId="6" borderId="36" xfId="2" applyNumberFormat="1" applyFont="1" applyFill="1" applyBorder="1" applyAlignment="1">
      <alignment vertical="center" wrapText="1"/>
    </xf>
    <xf numFmtId="166" fontId="4" fillId="6" borderId="54" xfId="2" applyNumberFormat="1" applyFont="1" applyFill="1" applyBorder="1" applyAlignment="1">
      <alignment vertical="center"/>
    </xf>
    <xf numFmtId="0" fontId="11" fillId="2" borderId="23" xfId="0" applyFont="1" applyFill="1" applyBorder="1" applyAlignment="1">
      <alignment horizontal="center" vertical="center"/>
    </xf>
    <xf numFmtId="0" fontId="13" fillId="2" borderId="10" xfId="0" applyFont="1" applyFill="1" applyBorder="1" applyAlignment="1">
      <alignment horizontal="left" vertical="center" wrapText="1"/>
    </xf>
    <xf numFmtId="0" fontId="15" fillId="0" borderId="30" xfId="0" applyFont="1" applyBorder="1" applyAlignment="1">
      <alignment horizontal="center" vertical="center"/>
    </xf>
    <xf numFmtId="0" fontId="1" fillId="0" borderId="2" xfId="0" applyFont="1" applyBorder="1"/>
    <xf numFmtId="0" fontId="4" fillId="0" borderId="2" xfId="0" applyFont="1" applyBorder="1"/>
    <xf numFmtId="0" fontId="0" fillId="0" borderId="2" xfId="0" applyBorder="1"/>
    <xf numFmtId="0" fontId="1" fillId="0" borderId="0" xfId="0" applyFont="1"/>
    <xf numFmtId="0" fontId="3" fillId="4" borderId="44" xfId="0" applyFont="1" applyFill="1" applyBorder="1" applyAlignment="1">
      <alignment horizontal="center" vertical="center"/>
    </xf>
    <xf numFmtId="0" fontId="7" fillId="4" borderId="8" xfId="0" applyFont="1" applyFill="1" applyBorder="1" applyAlignment="1">
      <alignment horizontal="center" vertical="center" wrapText="1"/>
    </xf>
    <xf numFmtId="0" fontId="4" fillId="0" borderId="56" xfId="0" applyFont="1" applyBorder="1" applyAlignment="1">
      <alignment horizontal="left" vertical="center" wrapText="1"/>
    </xf>
    <xf numFmtId="0" fontId="11" fillId="0" borderId="0" xfId="0" applyFont="1" applyAlignment="1">
      <alignment horizontal="left" vertical="center" wrapText="1"/>
    </xf>
    <xf numFmtId="0" fontId="0" fillId="0" borderId="0" xfId="0" applyAlignment="1">
      <alignment vertical="center"/>
    </xf>
    <xf numFmtId="0" fontId="16" fillId="12" borderId="26" xfId="0" applyFont="1" applyFill="1" applyBorder="1" applyAlignment="1">
      <alignment horizontal="center" vertical="center" wrapText="1"/>
    </xf>
    <xf numFmtId="0" fontId="9" fillId="0" borderId="7" xfId="0" applyFont="1" applyBorder="1" applyAlignment="1">
      <alignment vertical="center"/>
    </xf>
    <xf numFmtId="0" fontId="11" fillId="0" borderId="71" xfId="0" applyFont="1" applyBorder="1" applyAlignment="1">
      <alignment horizontal="center" vertical="center"/>
    </xf>
    <xf numFmtId="0" fontId="11" fillId="0" borderId="12" xfId="0" applyFont="1" applyBorder="1" applyAlignment="1">
      <alignment horizontal="center" vertical="center"/>
    </xf>
    <xf numFmtId="0" fontId="5" fillId="0" borderId="12" xfId="0" applyFont="1" applyBorder="1" applyAlignment="1">
      <alignment horizontal="center" vertical="center"/>
    </xf>
    <xf numFmtId="0" fontId="11" fillId="0" borderId="12" xfId="0" applyFont="1" applyBorder="1" applyAlignment="1">
      <alignment horizontal="center" vertical="center" wrapText="1"/>
    </xf>
    <xf numFmtId="0" fontId="11" fillId="0" borderId="72" xfId="0" applyFont="1" applyBorder="1" applyAlignment="1">
      <alignment horizontal="center" vertical="center"/>
    </xf>
    <xf numFmtId="14" fontId="46" fillId="0" borderId="72" xfId="0" applyNumberFormat="1" applyFont="1" applyBorder="1" applyAlignment="1">
      <alignment horizontal="center" vertical="center"/>
    </xf>
    <xf numFmtId="0" fontId="9" fillId="0" borderId="16" xfId="0" applyFont="1" applyBorder="1" applyAlignment="1">
      <alignment vertical="center" wrapText="1"/>
    </xf>
    <xf numFmtId="0" fontId="11" fillId="0" borderId="16" xfId="0" applyFont="1" applyBorder="1" applyAlignment="1">
      <alignment horizontal="center" vertical="center" wrapText="1"/>
    </xf>
    <xf numFmtId="0" fontId="11" fillId="0" borderId="16" xfId="0" applyFont="1" applyBorder="1" applyAlignment="1">
      <alignment horizontal="center" vertical="center"/>
    </xf>
    <xf numFmtId="14" fontId="46" fillId="0" borderId="16" xfId="0" applyNumberFormat="1" applyFont="1" applyBorder="1" applyAlignment="1">
      <alignment horizontal="center" vertical="center"/>
    </xf>
    <xf numFmtId="0" fontId="6" fillId="0" borderId="16" xfId="0" applyFont="1" applyBorder="1" applyAlignment="1">
      <alignment vertical="center" wrapText="1"/>
    </xf>
    <xf numFmtId="0" fontId="27" fillId="0" borderId="31" xfId="0" applyFont="1" applyBorder="1" applyAlignment="1">
      <alignment horizontal="center" vertical="center" wrapText="1"/>
    </xf>
    <xf numFmtId="0" fontId="27" fillId="0" borderId="18" xfId="0" applyFont="1" applyBorder="1" applyAlignment="1">
      <alignment horizontal="center" vertical="center" wrapText="1"/>
    </xf>
    <xf numFmtId="0" fontId="5" fillId="0" borderId="18" xfId="0" applyFont="1" applyBorder="1" applyAlignment="1">
      <alignment horizontal="center" vertical="center"/>
    </xf>
    <xf numFmtId="0" fontId="10" fillId="2" borderId="30" xfId="0" applyFont="1" applyFill="1" applyBorder="1" applyAlignment="1">
      <alignment vertical="center" wrapText="1"/>
    </xf>
    <xf numFmtId="0" fontId="11" fillId="2" borderId="60" xfId="0" applyFont="1" applyFill="1" applyBorder="1" applyAlignment="1">
      <alignment horizontal="center" vertical="center"/>
    </xf>
    <xf numFmtId="0" fontId="11" fillId="2" borderId="36" xfId="0" applyFont="1" applyFill="1" applyBorder="1" applyAlignment="1">
      <alignment horizontal="center" vertical="center"/>
    </xf>
    <xf numFmtId="0" fontId="6" fillId="2" borderId="36" xfId="0" applyFont="1" applyFill="1" applyBorder="1" applyAlignment="1">
      <alignment horizontal="center" vertical="center"/>
    </xf>
    <xf numFmtId="0" fontId="6" fillId="2" borderId="36" xfId="0" applyFont="1" applyFill="1" applyBorder="1" applyAlignment="1">
      <alignment horizontal="center" vertical="center" wrapText="1"/>
    </xf>
    <xf numFmtId="0" fontId="11" fillId="2" borderId="30" xfId="0" applyFont="1" applyFill="1" applyBorder="1" applyAlignment="1">
      <alignment horizontal="center" vertical="center" wrapText="1"/>
    </xf>
    <xf numFmtId="0" fontId="5" fillId="2" borderId="30" xfId="0" applyFont="1" applyFill="1" applyBorder="1" applyAlignment="1">
      <alignment horizontal="center" vertical="center" wrapText="1"/>
    </xf>
    <xf numFmtId="14" fontId="46" fillId="2" borderId="16" xfId="0" applyNumberFormat="1" applyFont="1" applyFill="1" applyBorder="1" applyAlignment="1">
      <alignment horizontal="center" vertical="center"/>
    </xf>
    <xf numFmtId="0" fontId="0" fillId="2" borderId="0" xfId="0" applyFill="1"/>
    <xf numFmtId="0" fontId="5" fillId="2" borderId="16" xfId="0" applyFont="1" applyFill="1" applyBorder="1" applyAlignment="1">
      <alignment horizontal="center" vertical="center" wrapText="1"/>
    </xf>
    <xf numFmtId="0" fontId="11" fillId="2" borderId="31" xfId="0" applyFont="1" applyFill="1" applyBorder="1" applyAlignment="1">
      <alignment horizontal="center" vertical="center"/>
    </xf>
    <xf numFmtId="6" fontId="0" fillId="2" borderId="18" xfId="0" applyNumberFormat="1" applyFill="1" applyBorder="1" applyAlignment="1">
      <alignment horizontal="center" vertical="center" wrapText="1"/>
    </xf>
    <xf numFmtId="0" fontId="4" fillId="2" borderId="16" xfId="0" applyFont="1" applyFill="1" applyBorder="1" applyAlignment="1">
      <alignment horizontal="center" vertical="center" wrapText="1"/>
    </xf>
    <xf numFmtId="0" fontId="0" fillId="2" borderId="16" xfId="0" applyFill="1" applyBorder="1" applyAlignment="1">
      <alignment horizontal="center" vertical="center" wrapText="1"/>
    </xf>
    <xf numFmtId="0" fontId="0" fillId="0" borderId="0" xfId="0" applyAlignment="1">
      <alignment horizontal="center" vertical="center"/>
    </xf>
    <xf numFmtId="0" fontId="6" fillId="0" borderId="10" xfId="0" applyFont="1" applyBorder="1" applyAlignment="1">
      <alignment vertical="center"/>
    </xf>
    <xf numFmtId="0" fontId="4" fillId="0" borderId="61" xfId="0" applyFont="1" applyBorder="1" applyAlignment="1">
      <alignment horizontal="center" vertical="center"/>
    </xf>
    <xf numFmtId="0" fontId="0" fillId="0" borderId="26" xfId="0" applyBorder="1" applyAlignment="1">
      <alignment horizontal="center" vertical="center"/>
    </xf>
    <xf numFmtId="0" fontId="0" fillId="0" borderId="26" xfId="0" applyBorder="1" applyAlignment="1">
      <alignment horizontal="center" vertical="center" wrapText="1"/>
    </xf>
    <xf numFmtId="0" fontId="0" fillId="0" borderId="10" xfId="0" applyBorder="1" applyAlignment="1">
      <alignment horizontal="center" vertical="center"/>
    </xf>
    <xf numFmtId="0" fontId="5" fillId="0" borderId="10" xfId="0" applyFont="1" applyBorder="1" applyAlignment="1">
      <alignment horizontal="center" vertical="center"/>
    </xf>
    <xf numFmtId="14" fontId="46" fillId="0" borderId="10" xfId="0" applyNumberFormat="1" applyFont="1" applyBorder="1" applyAlignment="1">
      <alignment horizontal="center" vertical="center"/>
    </xf>
    <xf numFmtId="0" fontId="6" fillId="0" borderId="0" xfId="0" applyFont="1"/>
    <xf numFmtId="165" fontId="15" fillId="0" borderId="0" xfId="1" applyNumberFormat="1" applyFont="1" applyFill="1" applyBorder="1" applyAlignment="1">
      <alignment horizontal="center" vertical="center"/>
    </xf>
    <xf numFmtId="0" fontId="0" fillId="2" borderId="0" xfId="0" applyFill="1" applyAlignment="1">
      <alignment horizontal="center" wrapText="1"/>
    </xf>
    <xf numFmtId="44" fontId="54" fillId="2" borderId="0" xfId="2" applyFont="1" applyFill="1" applyBorder="1" applyAlignment="1">
      <alignment horizontal="center"/>
    </xf>
    <xf numFmtId="0" fontId="0" fillId="2" borderId="0" xfId="0" applyFill="1" applyAlignment="1">
      <alignment horizontal="center"/>
    </xf>
    <xf numFmtId="0" fontId="5" fillId="2" borderId="0" xfId="0" applyFont="1" applyFill="1" applyAlignment="1">
      <alignment horizontal="center"/>
    </xf>
    <xf numFmtId="0" fontId="33" fillId="0" borderId="7" xfId="0" applyFont="1" applyBorder="1" applyAlignment="1">
      <alignment vertical="center" wrapText="1"/>
    </xf>
    <xf numFmtId="0" fontId="55" fillId="0" borderId="71" xfId="0" applyFont="1" applyBorder="1" applyAlignment="1">
      <alignment vertical="center" wrapText="1"/>
    </xf>
    <xf numFmtId="0" fontId="33" fillId="0" borderId="12" xfId="0" applyFont="1" applyBorder="1" applyAlignment="1">
      <alignment horizontal="center" vertical="center" wrapText="1"/>
    </xf>
    <xf numFmtId="0" fontId="0" fillId="0" borderId="12" xfId="0" applyBorder="1" applyAlignment="1">
      <alignment horizontal="center" wrapText="1"/>
    </xf>
    <xf numFmtId="0" fontId="33" fillId="0" borderId="7" xfId="0" applyFont="1" applyBorder="1" applyAlignment="1">
      <alignment horizontal="center" vertical="center" wrapText="1"/>
    </xf>
    <xf numFmtId="0" fontId="56" fillId="0" borderId="7" xfId="0" applyFont="1" applyBorder="1" applyAlignment="1">
      <alignment vertical="center" wrapText="1"/>
    </xf>
    <xf numFmtId="0" fontId="33" fillId="0" borderId="10" xfId="0" applyFont="1" applyBorder="1" applyAlignment="1">
      <alignment vertical="center" wrapText="1"/>
    </xf>
    <xf numFmtId="0" fontId="55" fillId="0" borderId="61" xfId="0" applyFont="1" applyBorder="1" applyAlignment="1">
      <alignment vertical="center" wrapText="1"/>
    </xf>
    <xf numFmtId="0" fontId="33" fillId="0" borderId="26" xfId="0" applyFont="1" applyBorder="1" applyAlignment="1">
      <alignment horizontal="center" vertical="center" wrapText="1"/>
    </xf>
    <xf numFmtId="0" fontId="0" fillId="0" borderId="26" xfId="0" applyBorder="1" applyAlignment="1">
      <alignment horizontal="center" wrapText="1"/>
    </xf>
    <xf numFmtId="0" fontId="33" fillId="0" borderId="10" xfId="0" applyFont="1" applyBorder="1" applyAlignment="1">
      <alignment horizontal="center" vertical="center" wrapText="1"/>
    </xf>
    <xf numFmtId="0" fontId="56" fillId="0" borderId="10" xfId="0" applyFont="1" applyBorder="1" applyAlignment="1">
      <alignment vertical="center" wrapText="1"/>
    </xf>
    <xf numFmtId="0" fontId="0" fillId="0" borderId="0" xfId="0" applyAlignment="1">
      <alignment horizontal="center"/>
    </xf>
    <xf numFmtId="0" fontId="5" fillId="0" borderId="0" xfId="0" applyFont="1" applyAlignment="1">
      <alignment horizontal="center"/>
    </xf>
    <xf numFmtId="0" fontId="4" fillId="0" borderId="0" xfId="0" applyFont="1" applyAlignment="1">
      <alignment vertical="center" wrapText="1"/>
    </xf>
    <xf numFmtId="0" fontId="2" fillId="0" borderId="0" xfId="0" applyFont="1" applyAlignment="1">
      <alignment horizontal="center"/>
    </xf>
    <xf numFmtId="0" fontId="0" fillId="0" borderId="0" xfId="0" applyAlignment="1">
      <alignment horizontal="center" wrapText="1"/>
    </xf>
    <xf numFmtId="0" fontId="54" fillId="0" borderId="0" xfId="0" applyFont="1" applyAlignment="1">
      <alignment horizontal="center"/>
    </xf>
    <xf numFmtId="0" fontId="16" fillId="4" borderId="8" xfId="0" applyFont="1" applyFill="1" applyBorder="1" applyAlignment="1">
      <alignment horizontal="center" vertical="center" wrapText="1"/>
    </xf>
    <xf numFmtId="0" fontId="16" fillId="3" borderId="74" xfId="0" applyFont="1" applyFill="1" applyBorder="1" applyAlignment="1">
      <alignment horizontal="center" wrapText="1"/>
    </xf>
    <xf numFmtId="6" fontId="16" fillId="3" borderId="7" xfId="0" applyNumberFormat="1" applyFont="1" applyFill="1" applyBorder="1" applyAlignment="1">
      <alignment horizontal="center"/>
    </xf>
    <xf numFmtId="6" fontId="16" fillId="3" borderId="72" xfId="0" applyNumberFormat="1" applyFont="1" applyFill="1" applyBorder="1" applyAlignment="1">
      <alignment horizontal="center"/>
    </xf>
    <xf numFmtId="0" fontId="16" fillId="3" borderId="75" xfId="0" applyFont="1" applyFill="1" applyBorder="1" applyAlignment="1">
      <alignment horizontal="center" wrapText="1"/>
    </xf>
    <xf numFmtId="0" fontId="16" fillId="3" borderId="66" xfId="0" applyFont="1" applyFill="1" applyBorder="1" applyAlignment="1">
      <alignment horizontal="center" wrapText="1"/>
    </xf>
    <xf numFmtId="0" fontId="11" fillId="0" borderId="68" xfId="0" applyFont="1" applyBorder="1" applyAlignment="1">
      <alignment horizontal="center" vertical="center" wrapText="1"/>
    </xf>
    <xf numFmtId="0" fontId="16" fillId="0" borderId="11" xfId="0" applyFont="1" applyBorder="1" applyAlignment="1">
      <alignment horizontal="center" vertical="center"/>
    </xf>
    <xf numFmtId="0" fontId="49" fillId="0" borderId="12" xfId="0" applyFont="1" applyBorder="1" applyAlignment="1">
      <alignment horizontal="left" vertical="center"/>
    </xf>
    <xf numFmtId="0" fontId="13" fillId="0" borderId="12" xfId="0" applyFont="1" applyBorder="1" applyAlignment="1">
      <alignment horizontal="left" vertical="center"/>
    </xf>
    <xf numFmtId="0" fontId="13" fillId="0" borderId="12" xfId="0" applyFont="1" applyBorder="1" applyAlignment="1">
      <alignment horizontal="center" vertical="center"/>
    </xf>
    <xf numFmtId="0" fontId="62" fillId="0" borderId="12" xfId="0" applyFont="1" applyBorder="1" applyAlignment="1">
      <alignment horizontal="center" vertical="center"/>
    </xf>
    <xf numFmtId="166" fontId="4" fillId="0" borderId="12" xfId="2" applyNumberFormat="1" applyFont="1" applyBorder="1" applyAlignment="1">
      <alignment vertical="center"/>
    </xf>
    <xf numFmtId="0" fontId="49" fillId="0" borderId="12" xfId="0" applyFont="1" applyBorder="1" applyAlignment="1">
      <alignment horizontal="center" vertical="center"/>
    </xf>
    <xf numFmtId="0" fontId="45" fillId="0" borderId="12" xfId="0" applyFont="1" applyBorder="1" applyAlignment="1">
      <alignment horizontal="center" vertical="center"/>
    </xf>
    <xf numFmtId="166" fontId="16" fillId="4" borderId="12" xfId="2" applyNumberFormat="1" applyFont="1" applyFill="1" applyBorder="1" applyAlignment="1">
      <alignment vertical="center"/>
    </xf>
    <xf numFmtId="166" fontId="4" fillId="0" borderId="71" xfId="2" applyNumberFormat="1" applyFont="1" applyBorder="1" applyAlignment="1">
      <alignment vertical="center"/>
    </xf>
    <xf numFmtId="0" fontId="13" fillId="0" borderId="19"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left" vertical="center" wrapText="1"/>
    </xf>
    <xf numFmtId="0" fontId="49" fillId="0" borderId="18" xfId="0" applyFont="1" applyBorder="1" applyAlignment="1">
      <alignment horizontal="left" vertical="center"/>
    </xf>
    <xf numFmtId="0" fontId="13" fillId="0" borderId="18" xfId="0" applyFont="1" applyBorder="1" applyAlignment="1">
      <alignment horizontal="left" vertical="center"/>
    </xf>
    <xf numFmtId="0" fontId="62" fillId="0" borderId="18" xfId="0" applyFont="1" applyBorder="1" applyAlignment="1">
      <alignment horizontal="center" vertical="center"/>
    </xf>
    <xf numFmtId="166" fontId="4" fillId="0" borderId="18" xfId="2" applyNumberFormat="1" applyFont="1" applyBorder="1" applyAlignment="1">
      <alignment vertical="center"/>
    </xf>
    <xf numFmtId="0" fontId="49" fillId="0" borderId="18" xfId="0" applyFont="1" applyBorder="1" applyAlignment="1">
      <alignment horizontal="center" vertical="center"/>
    </xf>
    <xf numFmtId="0" fontId="45" fillId="0" borderId="18" xfId="0" applyFont="1" applyBorder="1" applyAlignment="1">
      <alignment horizontal="center" vertical="center"/>
    </xf>
    <xf numFmtId="166" fontId="16" fillId="4" borderId="18" xfId="2" applyNumberFormat="1" applyFont="1" applyFill="1" applyBorder="1" applyAlignment="1">
      <alignment vertical="center"/>
    </xf>
    <xf numFmtId="0" fontId="13" fillId="0" borderId="20" xfId="0" applyFont="1" applyBorder="1" applyAlignment="1">
      <alignment horizontal="center" vertical="center"/>
    </xf>
    <xf numFmtId="0" fontId="16" fillId="0" borderId="18" xfId="0" applyFont="1" applyBorder="1" applyAlignment="1">
      <alignment horizontal="center" vertical="center"/>
    </xf>
    <xf numFmtId="0" fontId="49" fillId="0" borderId="18" xfId="0" applyFont="1" applyBorder="1" applyAlignment="1">
      <alignment horizontal="left" vertical="center" wrapText="1"/>
    </xf>
    <xf numFmtId="0" fontId="13" fillId="0" borderId="18" xfId="0" applyFont="1" applyBorder="1" applyAlignment="1">
      <alignment horizontal="left" vertical="center" wrapText="1"/>
    </xf>
    <xf numFmtId="0" fontId="16" fillId="0" borderId="36" xfId="0" applyFont="1" applyBorder="1" applyAlignment="1">
      <alignment horizontal="left" vertical="center" wrapText="1"/>
    </xf>
    <xf numFmtId="0" fontId="60" fillId="0" borderId="18" xfId="0" applyFont="1" applyBorder="1" applyAlignment="1">
      <alignment horizontal="center" vertical="center"/>
    </xf>
    <xf numFmtId="0" fontId="63" fillId="0" borderId="20" xfId="0" applyFont="1" applyBorder="1" applyAlignment="1">
      <alignment horizontal="center" vertical="center" wrapText="1"/>
    </xf>
    <xf numFmtId="0" fontId="16" fillId="0" borderId="67" xfId="0" applyFont="1" applyBorder="1" applyAlignment="1">
      <alignment horizontal="center" vertical="center"/>
    </xf>
    <xf numFmtId="0" fontId="49" fillId="2" borderId="64" xfId="0" applyFont="1" applyFill="1" applyBorder="1" applyAlignment="1">
      <alignment vertical="center"/>
    </xf>
    <xf numFmtId="0" fontId="49" fillId="2" borderId="47" xfId="0" applyFont="1" applyFill="1" applyBorder="1" applyAlignment="1">
      <alignment vertical="center"/>
    </xf>
    <xf numFmtId="0" fontId="63" fillId="2" borderId="17" xfId="0" applyFont="1" applyFill="1" applyBorder="1" applyAlignment="1">
      <alignment vertical="center" wrapText="1"/>
    </xf>
    <xf numFmtId="0" fontId="63" fillId="2" borderId="47" xfId="0" applyFont="1" applyFill="1" applyBorder="1" applyAlignment="1">
      <alignment horizontal="center" vertical="center"/>
    </xf>
    <xf numFmtId="0" fontId="49" fillId="0" borderId="36" xfId="0" applyFont="1" applyBorder="1" applyAlignment="1">
      <alignment horizontal="left" vertical="center"/>
    </xf>
    <xf numFmtId="0" fontId="13" fillId="0" borderId="36" xfId="0" applyFont="1" applyBorder="1" applyAlignment="1">
      <alignment horizontal="center" vertical="center"/>
    </xf>
    <xf numFmtId="0" fontId="62" fillId="0" borderId="36" xfId="0" applyFont="1" applyBorder="1" applyAlignment="1">
      <alignment horizontal="center" vertical="center"/>
    </xf>
    <xf numFmtId="166" fontId="4" fillId="0" borderId="36" xfId="2" applyNumberFormat="1" applyFont="1" applyBorder="1" applyAlignment="1">
      <alignment vertical="center"/>
    </xf>
    <xf numFmtId="0" fontId="49" fillId="0" borderId="36" xfId="0" applyFont="1" applyBorder="1" applyAlignment="1">
      <alignment horizontal="center" vertical="center"/>
    </xf>
    <xf numFmtId="166" fontId="16" fillId="4" borderId="36" xfId="2" applyNumberFormat="1" applyFont="1" applyFill="1" applyBorder="1" applyAlignment="1">
      <alignment vertical="center"/>
    </xf>
    <xf numFmtId="0" fontId="13" fillId="0" borderId="22" xfId="0" applyFont="1" applyBorder="1" applyAlignment="1">
      <alignment horizontal="center" vertical="center"/>
    </xf>
    <xf numFmtId="0" fontId="16" fillId="0" borderId="49" xfId="0" applyFont="1" applyBorder="1" applyAlignment="1">
      <alignment horizontal="center" vertical="center"/>
    </xf>
    <xf numFmtId="0" fontId="49" fillId="0" borderId="50" xfId="0" applyFont="1" applyBorder="1" applyAlignment="1">
      <alignment horizontal="left" vertical="center" wrapText="1"/>
    </xf>
    <xf numFmtId="0" fontId="13" fillId="0" borderId="50" xfId="0" applyFont="1" applyBorder="1" applyAlignment="1">
      <alignment horizontal="center" vertical="center"/>
    </xf>
    <xf numFmtId="0" fontId="62" fillId="0" borderId="50" xfId="0" applyFont="1" applyBorder="1" applyAlignment="1">
      <alignment horizontal="center" vertical="center"/>
    </xf>
    <xf numFmtId="166" fontId="4" fillId="0" borderId="50" xfId="2" applyNumberFormat="1" applyFont="1" applyBorder="1" applyAlignment="1">
      <alignment vertical="center"/>
    </xf>
    <xf numFmtId="0" fontId="49" fillId="0" borderId="50" xfId="0" applyFont="1" applyBorder="1" applyAlignment="1">
      <alignment horizontal="center" vertical="center"/>
    </xf>
    <xf numFmtId="0" fontId="4" fillId="0" borderId="50" xfId="0" applyFont="1" applyBorder="1" applyAlignment="1">
      <alignment horizontal="center" vertical="center"/>
    </xf>
    <xf numFmtId="166" fontId="16" fillId="4" borderId="50" xfId="2" applyNumberFormat="1" applyFont="1" applyFill="1" applyBorder="1" applyAlignment="1">
      <alignment vertical="center"/>
    </xf>
    <xf numFmtId="0" fontId="13" fillId="0" borderId="13" xfId="0" applyFont="1" applyBorder="1" applyAlignment="1">
      <alignment horizontal="center" vertical="center"/>
    </xf>
    <xf numFmtId="166" fontId="46" fillId="0" borderId="18" xfId="2" applyNumberFormat="1" applyFont="1" applyBorder="1" applyAlignment="1">
      <alignment vertical="center"/>
    </xf>
    <xf numFmtId="0" fontId="60" fillId="0" borderId="18" xfId="0" applyFont="1" applyBorder="1" applyAlignment="1">
      <alignment horizontal="center" vertical="center" wrapText="1"/>
    </xf>
    <xf numFmtId="166" fontId="7" fillId="4" borderId="18" xfId="2" applyNumberFormat="1" applyFont="1" applyFill="1" applyBorder="1" applyAlignment="1">
      <alignment vertical="center"/>
    </xf>
    <xf numFmtId="0" fontId="13" fillId="0" borderId="18" xfId="0" applyFont="1" applyBorder="1" applyAlignment="1">
      <alignment horizontal="center" vertical="center" wrapText="1"/>
    </xf>
    <xf numFmtId="0" fontId="16" fillId="0" borderId="25" xfId="0" applyFont="1" applyBorder="1" applyAlignment="1">
      <alignment horizontal="center" vertical="center"/>
    </xf>
    <xf numFmtId="0" fontId="49" fillId="0" borderId="26" xfId="0" applyFont="1" applyBorder="1" applyAlignment="1">
      <alignment horizontal="left" vertical="center"/>
    </xf>
    <xf numFmtId="0" fontId="13" fillId="0" borderId="26" xfId="0" applyFont="1" applyBorder="1" applyAlignment="1">
      <alignment horizontal="center" vertical="center"/>
    </xf>
    <xf numFmtId="0" fontId="13" fillId="0" borderId="26" xfId="0" applyFont="1" applyBorder="1" applyAlignment="1">
      <alignment horizontal="center" vertical="center" wrapText="1"/>
    </xf>
    <xf numFmtId="166" fontId="4" fillId="0" borderId="26" xfId="2" applyNumberFormat="1" applyFont="1" applyBorder="1" applyAlignment="1">
      <alignment vertical="center"/>
    </xf>
    <xf numFmtId="0" fontId="49" fillId="0" borderId="26" xfId="0" applyFont="1" applyBorder="1" applyAlignment="1">
      <alignment horizontal="center" vertical="center"/>
    </xf>
    <xf numFmtId="166" fontId="16" fillId="4" borderId="26" xfId="2" applyNumberFormat="1" applyFont="1" applyFill="1" applyBorder="1" applyAlignment="1">
      <alignment vertical="center"/>
    </xf>
    <xf numFmtId="0" fontId="13" fillId="0" borderId="27" xfId="0" applyFont="1" applyBorder="1" applyAlignment="1">
      <alignment horizontal="center" vertical="center"/>
    </xf>
    <xf numFmtId="0" fontId="49" fillId="0" borderId="50" xfId="0" applyFont="1" applyBorder="1" applyAlignment="1">
      <alignment horizontal="left" vertical="center"/>
    </xf>
    <xf numFmtId="0" fontId="66" fillId="0" borderId="13" xfId="0" applyFont="1" applyBorder="1" applyAlignment="1">
      <alignment horizontal="center" vertical="center"/>
    </xf>
    <xf numFmtId="0" fontId="66" fillId="0" borderId="20" xfId="0" applyFont="1" applyBorder="1" applyAlignment="1">
      <alignment horizontal="center" vertical="center"/>
    </xf>
    <xf numFmtId="0" fontId="49" fillId="0" borderId="18" xfId="0" applyFont="1" applyBorder="1" applyAlignment="1">
      <alignment horizontal="center" vertical="center" wrapText="1"/>
    </xf>
    <xf numFmtId="0" fontId="60" fillId="0" borderId="26" xfId="0" applyFont="1" applyBorder="1" applyAlignment="1">
      <alignment horizontal="center" vertical="center"/>
    </xf>
    <xf numFmtId="0" fontId="49" fillId="0" borderId="26" xfId="0" applyFont="1" applyBorder="1" applyAlignment="1">
      <alignment horizontal="center" vertical="center" wrapText="1"/>
    </xf>
    <xf numFmtId="0" fontId="49" fillId="0" borderId="50" xfId="0" applyFont="1" applyBorder="1" applyAlignment="1">
      <alignment horizontal="center" vertical="center" wrapText="1"/>
    </xf>
    <xf numFmtId="0" fontId="13" fillId="0" borderId="20" xfId="0" applyFont="1" applyBorder="1" applyAlignment="1">
      <alignment horizontal="center" vertical="center" wrapText="1"/>
    </xf>
    <xf numFmtId="0" fontId="16" fillId="2" borderId="26" xfId="0" applyFont="1" applyFill="1" applyBorder="1" applyAlignment="1">
      <alignment horizontal="left" vertical="center"/>
    </xf>
    <xf numFmtId="0" fontId="2" fillId="0" borderId="0" xfId="0" applyFont="1"/>
    <xf numFmtId="0" fontId="16" fillId="4" borderId="8" xfId="0" applyFont="1" applyFill="1" applyBorder="1" applyAlignment="1">
      <alignment horizontal="center" vertical="center"/>
    </xf>
    <xf numFmtId="0" fontId="16" fillId="4" borderId="43" xfId="0" applyFont="1" applyFill="1" applyBorder="1" applyAlignment="1">
      <alignment horizontal="center" vertical="center" wrapText="1"/>
    </xf>
    <xf numFmtId="0" fontId="16" fillId="3" borderId="11" xfId="0" applyFont="1" applyFill="1" applyBorder="1" applyAlignment="1">
      <alignment horizontal="center"/>
    </xf>
    <xf numFmtId="6" fontId="16" fillId="6" borderId="46" xfId="0" applyNumberFormat="1" applyFont="1" applyFill="1" applyBorder="1" applyAlignment="1">
      <alignment horizontal="center"/>
    </xf>
    <xf numFmtId="0" fontId="16" fillId="3" borderId="17" xfId="0" applyFont="1" applyFill="1" applyBorder="1" applyAlignment="1">
      <alignment horizontal="center"/>
    </xf>
    <xf numFmtId="6" fontId="16" fillId="6" borderId="47" xfId="0" applyNumberFormat="1" applyFont="1" applyFill="1" applyBorder="1" applyAlignment="1">
      <alignment horizontal="center"/>
    </xf>
    <xf numFmtId="0" fontId="16" fillId="3" borderId="67" xfId="0" applyFont="1" applyFill="1" applyBorder="1" applyAlignment="1">
      <alignment horizontal="center"/>
    </xf>
    <xf numFmtId="6" fontId="16" fillId="6" borderId="54" xfId="0" applyNumberFormat="1" applyFont="1" applyFill="1" applyBorder="1" applyAlignment="1">
      <alignment horizontal="center"/>
    </xf>
    <xf numFmtId="0" fontId="16" fillId="3" borderId="25" xfId="0" applyFont="1" applyFill="1" applyBorder="1" applyAlignment="1">
      <alignment horizontal="center"/>
    </xf>
    <xf numFmtId="6" fontId="16" fillId="6" borderId="48" xfId="0" applyNumberFormat="1" applyFont="1" applyFill="1" applyBorder="1" applyAlignment="1">
      <alignment horizontal="center"/>
    </xf>
    <xf numFmtId="0" fontId="11" fillId="0" borderId="0" xfId="0" applyFont="1" applyAlignment="1">
      <alignment vertical="center"/>
    </xf>
    <xf numFmtId="164" fontId="11" fillId="0" borderId="0" xfId="0" applyNumberFormat="1" applyFont="1" applyAlignment="1">
      <alignment vertical="center"/>
    </xf>
    <xf numFmtId="164" fontId="4" fillId="0" borderId="0" xfId="0" applyNumberFormat="1" applyFont="1" applyAlignment="1">
      <alignment horizontal="center" vertical="center"/>
    </xf>
    <xf numFmtId="0" fontId="2" fillId="0" borderId="0" xfId="0" applyFont="1" applyAlignment="1">
      <alignment vertical="center"/>
    </xf>
    <xf numFmtId="0" fontId="11" fillId="0" borderId="22" xfId="0" applyFont="1" applyBorder="1" applyAlignment="1">
      <alignment vertical="center" wrapText="1"/>
    </xf>
    <xf numFmtId="0" fontId="11" fillId="0" borderId="23" xfId="0" applyFont="1" applyBorder="1" applyAlignment="1">
      <alignment vertical="center" wrapText="1"/>
    </xf>
    <xf numFmtId="0" fontId="11" fillId="0" borderId="0" xfId="0" applyFont="1" applyAlignment="1">
      <alignment vertical="center" wrapText="1"/>
    </xf>
    <xf numFmtId="0" fontId="12" fillId="0" borderId="20" xfId="0" applyFont="1" applyBorder="1" applyAlignment="1">
      <alignment vertical="center"/>
    </xf>
    <xf numFmtId="0" fontId="67" fillId="0" borderId="0" xfId="0" applyFont="1" applyAlignment="1">
      <alignment horizontal="center" vertical="center" wrapText="1"/>
    </xf>
    <xf numFmtId="0" fontId="9" fillId="0" borderId="11" xfId="0" applyFont="1" applyBorder="1" applyAlignment="1">
      <alignment vertical="center" wrapText="1"/>
    </xf>
    <xf numFmtId="0" fontId="11" fillId="0" borderId="12" xfId="0" applyFont="1" applyBorder="1" applyAlignment="1">
      <alignment vertical="center"/>
    </xf>
    <xf numFmtId="0" fontId="12" fillId="0" borderId="19" xfId="0" applyFont="1" applyBorder="1" applyAlignment="1">
      <alignment vertical="center"/>
    </xf>
    <xf numFmtId="0" fontId="12" fillId="0" borderId="19" xfId="0" applyFont="1" applyBorder="1" applyAlignment="1">
      <alignment horizontal="center" vertical="center"/>
    </xf>
    <xf numFmtId="42" fontId="41" fillId="6" borderId="19" xfId="0" applyNumberFormat="1" applyFont="1" applyFill="1" applyBorder="1" applyAlignment="1">
      <alignment vertical="center"/>
    </xf>
    <xf numFmtId="0" fontId="11" fillId="0" borderId="18" xfId="0" applyFont="1" applyBorder="1" applyAlignment="1">
      <alignment vertical="center"/>
    </xf>
    <xf numFmtId="0" fontId="11" fillId="0" borderId="18" xfId="0" applyFont="1" applyBorder="1" applyAlignment="1">
      <alignment horizontal="left" vertical="center"/>
    </xf>
    <xf numFmtId="0" fontId="6" fillId="5" borderId="17" xfId="0" applyFont="1" applyFill="1" applyBorder="1" applyAlignment="1">
      <alignment vertical="center" wrapText="1"/>
    </xf>
    <xf numFmtId="0" fontId="11" fillId="0" borderId="20" xfId="0" applyFont="1" applyBorder="1" applyAlignment="1">
      <alignment vertical="center"/>
    </xf>
    <xf numFmtId="0" fontId="11" fillId="0" borderId="20" xfId="0" applyFont="1" applyBorder="1" applyAlignment="1">
      <alignment horizontal="center" vertical="center"/>
    </xf>
    <xf numFmtId="0" fontId="5" fillId="6" borderId="0" xfId="0" applyFont="1" applyFill="1"/>
    <xf numFmtId="42" fontId="40" fillId="0" borderId="0" xfId="0" applyNumberFormat="1" applyFont="1"/>
    <xf numFmtId="0" fontId="6" fillId="5" borderId="0" xfId="0" applyFont="1" applyFill="1" applyAlignment="1">
      <alignment vertical="center" wrapText="1"/>
    </xf>
    <xf numFmtId="0" fontId="16" fillId="12" borderId="80" xfId="0" applyFont="1" applyFill="1" applyBorder="1" applyAlignment="1">
      <alignment horizontal="center" vertical="center"/>
    </xf>
    <xf numFmtId="0" fontId="16" fillId="12" borderId="34" xfId="0" applyFont="1" applyFill="1" applyBorder="1" applyAlignment="1">
      <alignment horizontal="center" vertical="center" wrapText="1"/>
    </xf>
    <xf numFmtId="0" fontId="16" fillId="12" borderId="34" xfId="0" applyFont="1" applyFill="1" applyBorder="1" applyAlignment="1">
      <alignment horizontal="center" vertical="center"/>
    </xf>
    <xf numFmtId="0" fontId="6" fillId="12" borderId="51" xfId="0" applyFont="1" applyFill="1" applyBorder="1" applyAlignment="1">
      <alignment horizontal="center" vertical="center" wrapText="1"/>
    </xf>
    <xf numFmtId="0" fontId="16" fillId="12" borderId="35" xfId="0" applyFont="1" applyFill="1" applyBorder="1" applyAlignment="1">
      <alignment horizontal="center" vertical="center"/>
    </xf>
    <xf numFmtId="0" fontId="16" fillId="0" borderId="0" xfId="0" applyFont="1" applyAlignment="1">
      <alignment horizontal="center" vertical="center"/>
    </xf>
    <xf numFmtId="165" fontId="58" fillId="6" borderId="18" xfId="1" applyNumberFormat="1" applyFont="1" applyFill="1" applyBorder="1" applyAlignment="1">
      <alignment vertical="center"/>
    </xf>
    <xf numFmtId="0" fontId="4" fillId="0" borderId="53" xfId="0" applyFont="1" applyBorder="1" applyAlignment="1">
      <alignment vertical="center"/>
    </xf>
    <xf numFmtId="0" fontId="16" fillId="0" borderId="17" xfId="0" applyFont="1" applyBorder="1" applyAlignment="1">
      <alignment vertical="center"/>
    </xf>
    <xf numFmtId="0" fontId="7" fillId="6" borderId="0" xfId="0" applyFont="1" applyFill="1"/>
    <xf numFmtId="14" fontId="69" fillId="0" borderId="8" xfId="0" applyNumberFormat="1" applyFont="1" applyBorder="1"/>
    <xf numFmtId="0" fontId="70" fillId="0" borderId="0" xfId="0" applyFont="1" applyAlignment="1">
      <alignment horizontal="center" vertical="center" wrapText="1"/>
    </xf>
    <xf numFmtId="0" fontId="66" fillId="0" borderId="0" xfId="0" applyFont="1" applyAlignment="1">
      <alignment vertical="center"/>
    </xf>
    <xf numFmtId="0" fontId="71" fillId="0" borderId="0" xfId="0" applyFont="1" applyAlignment="1">
      <alignment vertical="center"/>
    </xf>
    <xf numFmtId="0" fontId="72" fillId="15" borderId="8" xfId="0" applyFont="1" applyFill="1" applyBorder="1" applyAlignment="1">
      <alignment horizontal="center" vertical="center"/>
    </xf>
    <xf numFmtId="0" fontId="72" fillId="15" borderId="43" xfId="0" applyFont="1" applyFill="1" applyBorder="1" applyAlignment="1">
      <alignment horizontal="center" vertical="center" wrapText="1"/>
    </xf>
    <xf numFmtId="0" fontId="72" fillId="15" borderId="43" xfId="0" applyFont="1" applyFill="1" applyBorder="1" applyAlignment="1">
      <alignment horizontal="center" vertical="center"/>
    </xf>
    <xf numFmtId="0" fontId="72" fillId="15" borderId="5" xfId="0" applyFont="1" applyFill="1" applyBorder="1" applyAlignment="1">
      <alignment horizontal="center" vertical="center" wrapText="1"/>
    </xf>
    <xf numFmtId="0" fontId="73" fillId="0" borderId="9" xfId="0" applyFont="1" applyBorder="1" applyAlignment="1">
      <alignment vertical="center" wrapText="1"/>
    </xf>
    <xf numFmtId="0" fontId="73" fillId="0" borderId="42" xfId="0" applyFont="1" applyBorder="1" applyAlignment="1">
      <alignment horizontal="center" vertical="center" wrapText="1"/>
    </xf>
    <xf numFmtId="0" fontId="73" fillId="0" borderId="42" xfId="0" applyFont="1" applyBorder="1" applyAlignment="1">
      <alignment horizontal="center" vertical="center"/>
    </xf>
    <xf numFmtId="0" fontId="74" fillId="0" borderId="18" xfId="0" applyFont="1" applyBorder="1" applyAlignment="1">
      <alignment horizontal="center" vertical="center"/>
    </xf>
    <xf numFmtId="8" fontId="73" fillId="0" borderId="42" xfId="0" applyNumberFormat="1" applyFont="1" applyBorder="1" applyAlignment="1">
      <alignment horizontal="center" vertical="center"/>
    </xf>
    <xf numFmtId="9" fontId="73" fillId="0" borderId="42" xfId="0" applyNumberFormat="1" applyFont="1" applyBorder="1" applyAlignment="1">
      <alignment horizontal="right" vertical="center" wrapText="1"/>
    </xf>
    <xf numFmtId="8" fontId="0" fillId="0" borderId="0" xfId="0" applyNumberFormat="1"/>
    <xf numFmtId="0" fontId="75" fillId="0" borderId="18" xfId="0" applyFont="1" applyBorder="1" applyAlignment="1">
      <alignment horizontal="center" vertical="center" wrapText="1"/>
    </xf>
    <xf numFmtId="0" fontId="76" fillId="0" borderId="18" xfId="0" applyFont="1" applyBorder="1" applyAlignment="1">
      <alignment horizontal="center" vertical="center"/>
    </xf>
    <xf numFmtId="0" fontId="73" fillId="0" borderId="0" xfId="0" applyFont="1" applyAlignment="1">
      <alignment vertical="center" wrapText="1"/>
    </xf>
    <xf numFmtId="0" fontId="73" fillId="0" borderId="0" xfId="0" applyFont="1" applyAlignment="1">
      <alignment horizontal="center" vertical="center" wrapText="1"/>
    </xf>
    <xf numFmtId="0" fontId="73" fillId="0" borderId="0" xfId="0" applyFont="1" applyAlignment="1">
      <alignment horizontal="center" vertical="center"/>
    </xf>
    <xf numFmtId="0" fontId="76" fillId="0" borderId="0" xfId="0" applyFont="1" applyAlignment="1">
      <alignment horizontal="center" vertical="center"/>
    </xf>
    <xf numFmtId="8" fontId="73" fillId="0" borderId="0" xfId="0" applyNumberFormat="1" applyFont="1" applyAlignment="1">
      <alignment horizontal="center" vertical="center"/>
    </xf>
    <xf numFmtId="0" fontId="77" fillId="0" borderId="0" xfId="0" applyFont="1" applyAlignment="1">
      <alignment horizontal="justify" vertical="center"/>
    </xf>
    <xf numFmtId="0" fontId="75" fillId="0" borderId="0" xfId="0" applyFont="1" applyAlignment="1">
      <alignment horizontal="center" vertical="center" wrapText="1"/>
    </xf>
    <xf numFmtId="9" fontId="73" fillId="0" borderId="0" xfId="0" applyNumberFormat="1" applyFont="1" applyAlignment="1">
      <alignment horizontal="right" vertical="center" wrapText="1"/>
    </xf>
    <xf numFmtId="0" fontId="78" fillId="0" borderId="0" xfId="0" applyFont="1" applyAlignment="1">
      <alignment horizontal="center" vertical="center" wrapText="1"/>
    </xf>
    <xf numFmtId="0" fontId="78" fillId="0" borderId="0" xfId="0" applyFont="1" applyAlignment="1">
      <alignment horizontal="center" vertical="center"/>
    </xf>
    <xf numFmtId="0" fontId="79" fillId="0" borderId="0" xfId="0" applyFont="1" applyAlignment="1">
      <alignment horizontal="center" vertical="center" wrapText="1"/>
    </xf>
    <xf numFmtId="8" fontId="78" fillId="0" borderId="0" xfId="0" applyNumberFormat="1" applyFont="1" applyAlignment="1">
      <alignment horizontal="center" vertical="center"/>
    </xf>
    <xf numFmtId="9" fontId="78" fillId="0" borderId="0" xfId="0" applyNumberFormat="1" applyFont="1" applyAlignment="1">
      <alignment horizontal="right" vertical="center" wrapText="1"/>
    </xf>
    <xf numFmtId="0" fontId="3" fillId="0" borderId="0" xfId="0" applyFont="1" applyAlignment="1">
      <alignment vertical="center"/>
    </xf>
    <xf numFmtId="0" fontId="73" fillId="0" borderId="9" xfId="0" applyFont="1" applyBorder="1" applyAlignment="1">
      <alignment horizontal="center" vertical="center" wrapText="1"/>
    </xf>
    <xf numFmtId="0" fontId="72" fillId="16" borderId="42" xfId="0" applyFont="1" applyFill="1" applyBorder="1" applyAlignment="1">
      <alignment horizontal="center" vertical="center" wrapText="1"/>
    </xf>
    <xf numFmtId="0" fontId="72" fillId="16" borderId="42" xfId="0" applyFont="1" applyFill="1" applyBorder="1" applyAlignment="1">
      <alignment horizontal="center" vertical="center"/>
    </xf>
    <xf numFmtId="8" fontId="72" fillId="16" borderId="42" xfId="0" applyNumberFormat="1" applyFont="1" applyFill="1" applyBorder="1" applyAlignment="1">
      <alignment horizontal="center" vertical="center"/>
    </xf>
    <xf numFmtId="8" fontId="72" fillId="16" borderId="42" xfId="0" applyNumberFormat="1" applyFont="1" applyFill="1" applyBorder="1" applyAlignment="1">
      <alignment horizontal="right" vertical="center"/>
    </xf>
    <xf numFmtId="0" fontId="80" fillId="0" borderId="0" xfId="0" applyFont="1" applyAlignment="1">
      <alignment horizontal="center" vertical="center"/>
    </xf>
    <xf numFmtId="0" fontId="81" fillId="0" borderId="0" xfId="0" applyFont="1" applyAlignment="1">
      <alignment horizontal="center" vertical="center"/>
    </xf>
    <xf numFmtId="0" fontId="82" fillId="0" borderId="0" xfId="0" applyFont="1" applyAlignment="1">
      <alignment horizontal="center" vertical="center" wrapText="1"/>
    </xf>
    <xf numFmtId="0" fontId="82" fillId="0" borderId="0" xfId="0" applyFont="1"/>
    <xf numFmtId="8" fontId="82" fillId="0" borderId="0" xfId="0" applyNumberFormat="1" applyFont="1"/>
    <xf numFmtId="0" fontId="9" fillId="0" borderId="12" xfId="0" applyFont="1" applyBorder="1" applyAlignment="1">
      <alignment horizontal="center" vertical="center"/>
    </xf>
    <xf numFmtId="164" fontId="12" fillId="0" borderId="19" xfId="0" applyNumberFormat="1" applyFont="1" applyBorder="1" applyAlignment="1">
      <alignment horizontal="center" vertical="center"/>
    </xf>
    <xf numFmtId="164" fontId="28" fillId="2" borderId="19" xfId="1" applyNumberFormat="1" applyFont="1" applyFill="1" applyBorder="1" applyAlignment="1">
      <alignment horizontal="center" vertical="center"/>
    </xf>
    <xf numFmtId="14" fontId="46" fillId="0" borderId="7" xfId="0" applyNumberFormat="1" applyFont="1" applyBorder="1" applyAlignment="1">
      <alignment horizontal="center" vertical="center"/>
    </xf>
    <xf numFmtId="164" fontId="28" fillId="6" borderId="19" xfId="1" applyNumberFormat="1" applyFont="1" applyFill="1" applyBorder="1" applyAlignment="1">
      <alignment horizontal="center" vertical="center"/>
    </xf>
    <xf numFmtId="0" fontId="12" fillId="0" borderId="26" xfId="0" applyFont="1" applyBorder="1" applyAlignment="1">
      <alignment horizontal="center" vertical="center"/>
    </xf>
    <xf numFmtId="0" fontId="9" fillId="0" borderId="25" xfId="0" applyFont="1" applyBorder="1" applyAlignment="1">
      <alignment vertical="center" wrapText="1"/>
    </xf>
    <xf numFmtId="0" fontId="9" fillId="0" borderId="26" xfId="0" applyFont="1" applyBorder="1" applyAlignment="1">
      <alignment horizontal="center" vertical="center"/>
    </xf>
    <xf numFmtId="0" fontId="12" fillId="0" borderId="73" xfId="0" applyFont="1" applyBorder="1" applyAlignment="1">
      <alignment horizontal="center" vertical="center"/>
    </xf>
    <xf numFmtId="164" fontId="12" fillId="0" borderId="73" xfId="0" applyNumberFormat="1" applyFont="1" applyBorder="1" applyAlignment="1">
      <alignment horizontal="center" vertical="center"/>
    </xf>
    <xf numFmtId="164" fontId="28" fillId="2" borderId="73" xfId="1" applyNumberFormat="1" applyFont="1" applyFill="1" applyBorder="1" applyAlignment="1">
      <alignment horizontal="center" vertical="center"/>
    </xf>
    <xf numFmtId="0" fontId="16" fillId="3" borderId="64" xfId="0" applyFont="1" applyFill="1" applyBorder="1" applyAlignment="1">
      <alignment horizontal="center" wrapText="1"/>
    </xf>
    <xf numFmtId="0" fontId="4" fillId="0" borderId="7" xfId="0" applyFont="1" applyBorder="1" applyAlignment="1">
      <alignment horizontal="center" vertical="center"/>
    </xf>
    <xf numFmtId="0" fontId="84" fillId="0" borderId="72" xfId="0" applyFont="1" applyBorder="1" applyAlignment="1">
      <alignment vertical="center"/>
    </xf>
    <xf numFmtId="0" fontId="4" fillId="0" borderId="11" xfId="0" applyFont="1" applyBorder="1" applyAlignment="1">
      <alignment horizontal="center" vertical="center"/>
    </xf>
    <xf numFmtId="0" fontId="84" fillId="0" borderId="12" xfId="0" applyFont="1" applyBorder="1" applyAlignment="1">
      <alignment horizontal="center" vertical="center"/>
    </xf>
    <xf numFmtId="0" fontId="84" fillId="0" borderId="46" xfId="0" applyFont="1" applyBorder="1" applyAlignment="1">
      <alignment horizontal="center" vertical="center"/>
    </xf>
    <xf numFmtId="164" fontId="4" fillId="6" borderId="11" xfId="0" applyNumberFormat="1" applyFont="1" applyFill="1" applyBorder="1" applyAlignment="1">
      <alignment horizontal="center" vertical="center"/>
    </xf>
    <xf numFmtId="0" fontId="84" fillId="0" borderId="74" xfId="0" applyFont="1" applyBorder="1" applyAlignment="1">
      <alignment horizontal="center" wrapText="1"/>
    </xf>
    <xf numFmtId="0" fontId="84" fillId="0" borderId="58" xfId="0" applyFont="1" applyBorder="1" applyAlignment="1">
      <alignment horizontal="center" wrapText="1"/>
    </xf>
    <xf numFmtId="0" fontId="4" fillId="2" borderId="70" xfId="0" applyFont="1" applyFill="1" applyBorder="1" applyAlignment="1">
      <alignment horizontal="center" vertical="center" wrapText="1"/>
    </xf>
    <xf numFmtId="0" fontId="4" fillId="0" borderId="55" xfId="0" applyFont="1" applyBorder="1" applyAlignment="1">
      <alignment horizontal="center" vertical="center" wrapText="1"/>
    </xf>
    <xf numFmtId="14" fontId="15" fillId="0" borderId="53" xfId="0" applyNumberFormat="1" applyFont="1" applyBorder="1" applyAlignment="1">
      <alignment horizontal="center" vertical="center" wrapText="1"/>
    </xf>
    <xf numFmtId="0" fontId="4" fillId="0" borderId="16" xfId="0" applyFont="1" applyBorder="1" applyAlignment="1">
      <alignment horizontal="center" vertical="center"/>
    </xf>
    <xf numFmtId="0" fontId="84" fillId="0" borderId="16" xfId="0" applyFont="1" applyBorder="1" applyAlignment="1">
      <alignment vertical="center" wrapText="1"/>
    </xf>
    <xf numFmtId="0" fontId="4" fillId="0" borderId="17" xfId="0" applyFont="1" applyBorder="1" applyAlignment="1">
      <alignment horizontal="center" vertical="center"/>
    </xf>
    <xf numFmtId="0" fontId="84" fillId="0" borderId="18" xfId="0" applyFont="1" applyBorder="1" applyAlignment="1">
      <alignment horizontal="center" vertical="center"/>
    </xf>
    <xf numFmtId="0" fontId="84" fillId="0" borderId="47" xfId="0" applyFont="1" applyBorder="1" applyAlignment="1">
      <alignment horizontal="center" vertical="center"/>
    </xf>
    <xf numFmtId="164" fontId="4" fillId="6" borderId="17" xfId="0" applyNumberFormat="1" applyFont="1" applyFill="1" applyBorder="1" applyAlignment="1">
      <alignment horizontal="center" vertical="center"/>
    </xf>
    <xf numFmtId="0" fontId="84" fillId="0" borderId="64" xfId="0" applyFont="1" applyBorder="1" applyAlignment="1">
      <alignment horizontal="center" wrapText="1"/>
    </xf>
    <xf numFmtId="0" fontId="84" fillId="0" borderId="59" xfId="0" applyFont="1" applyBorder="1" applyAlignment="1">
      <alignment horizontal="center" wrapText="1"/>
    </xf>
    <xf numFmtId="14" fontId="15" fillId="0" borderId="47" xfId="0" applyNumberFormat="1" applyFont="1" applyBorder="1" applyAlignment="1">
      <alignment horizontal="center" vertical="center" wrapText="1"/>
    </xf>
    <xf numFmtId="0" fontId="84" fillId="0" borderId="16" xfId="0" applyFont="1" applyBorder="1" applyAlignment="1">
      <alignment vertical="center"/>
    </xf>
    <xf numFmtId="0" fontId="84" fillId="0" borderId="17" xfId="0" applyFont="1" applyBorder="1" applyAlignment="1">
      <alignment vertical="center" wrapText="1"/>
    </xf>
    <xf numFmtId="0" fontId="84" fillId="0" borderId="47" xfId="0" applyFont="1" applyBorder="1" applyAlignment="1">
      <alignment vertical="center" wrapText="1"/>
    </xf>
    <xf numFmtId="0" fontId="84" fillId="0" borderId="64" xfId="0" applyFont="1" applyBorder="1" applyAlignment="1">
      <alignment horizontal="left" vertical="center" wrapText="1"/>
    </xf>
    <xf numFmtId="0" fontId="84" fillId="0" borderId="59" xfId="0" applyFont="1" applyBorder="1" applyAlignment="1">
      <alignment horizontal="left" vertical="center" wrapText="1"/>
    </xf>
    <xf numFmtId="0" fontId="84" fillId="0" borderId="64" xfId="0" applyFont="1" applyBorder="1" applyAlignment="1">
      <alignment horizontal="center" vertical="center" wrapText="1"/>
    </xf>
    <xf numFmtId="0" fontId="84" fillId="0" borderId="59" xfId="0" applyFont="1" applyBorder="1" applyAlignment="1">
      <alignment horizontal="center" vertical="center" wrapText="1"/>
    </xf>
    <xf numFmtId="0" fontId="84" fillId="0" borderId="64" xfId="0" applyFont="1" applyBorder="1" applyAlignment="1">
      <alignment horizontal="left" vertical="top" wrapText="1"/>
    </xf>
    <xf numFmtId="0" fontId="84" fillId="0" borderId="59" xfId="0" applyFont="1" applyBorder="1" applyAlignment="1">
      <alignment horizontal="left" vertical="top" wrapText="1"/>
    </xf>
    <xf numFmtId="14" fontId="15" fillId="0" borderId="30" xfId="0" applyNumberFormat="1" applyFont="1" applyBorder="1" applyAlignment="1">
      <alignment horizontal="center" vertical="center" wrapText="1"/>
    </xf>
    <xf numFmtId="0" fontId="4" fillId="0" borderId="10" xfId="0" applyFont="1" applyBorder="1" applyAlignment="1">
      <alignment horizontal="center" vertical="center"/>
    </xf>
    <xf numFmtId="0" fontId="84" fillId="0" borderId="10" xfId="0" applyFont="1" applyBorder="1" applyAlignment="1">
      <alignment vertical="center"/>
    </xf>
    <xf numFmtId="0" fontId="4" fillId="0" borderId="25" xfId="0" applyFont="1" applyBorder="1" applyAlignment="1">
      <alignment horizontal="center" vertical="center"/>
    </xf>
    <xf numFmtId="0" fontId="84" fillId="0" borderId="26" xfId="0" applyFont="1" applyBorder="1" applyAlignment="1">
      <alignment horizontal="center" vertical="center"/>
    </xf>
    <xf numFmtId="0" fontId="84" fillId="0" borderId="48" xfId="0" applyFont="1" applyBorder="1" applyAlignment="1">
      <alignment horizontal="center" vertical="center"/>
    </xf>
    <xf numFmtId="164" fontId="4" fillId="6" borderId="25" xfId="0" applyNumberFormat="1" applyFont="1" applyFill="1" applyBorder="1" applyAlignment="1">
      <alignment horizontal="center" vertical="center"/>
    </xf>
    <xf numFmtId="0" fontId="84" fillId="0" borderId="66" xfId="0" applyFont="1" applyBorder="1" applyAlignment="1">
      <alignment horizontal="left" vertical="top" wrapText="1"/>
    </xf>
    <xf numFmtId="0" fontId="84" fillId="0" borderId="79" xfId="0" applyFont="1" applyBorder="1" applyAlignment="1">
      <alignment horizontal="left" vertical="top" wrapText="1"/>
    </xf>
    <xf numFmtId="0" fontId="4" fillId="0" borderId="66" xfId="0" applyFont="1" applyBorder="1" applyAlignment="1">
      <alignment horizontal="center" vertical="center" wrapText="1"/>
    </xf>
    <xf numFmtId="0" fontId="4" fillId="0" borderId="79" xfId="0" applyFont="1" applyBorder="1" applyAlignment="1">
      <alignment horizontal="center" vertical="center" wrapText="1"/>
    </xf>
    <xf numFmtId="14" fontId="15" fillId="0" borderId="10" xfId="0" applyNumberFormat="1" applyFont="1" applyBorder="1" applyAlignment="1">
      <alignment horizontal="center" vertical="center" wrapText="1"/>
    </xf>
    <xf numFmtId="0" fontId="84" fillId="0" borderId="0" xfId="0" applyFont="1" applyAlignment="1">
      <alignment vertical="center"/>
    </xf>
    <xf numFmtId="0" fontId="84" fillId="0" borderId="0" xfId="0" applyFont="1" applyAlignment="1">
      <alignment horizontal="center" vertical="center"/>
    </xf>
    <xf numFmtId="0" fontId="84" fillId="0" borderId="0" xfId="0" applyFont="1" applyAlignment="1">
      <alignment horizontal="center" vertical="top" wrapText="1"/>
    </xf>
    <xf numFmtId="0" fontId="33" fillId="0" borderId="80" xfId="0" applyFont="1" applyBorder="1" applyAlignment="1">
      <alignment horizontal="center" vertical="center"/>
    </xf>
    <xf numFmtId="0" fontId="47" fillId="0" borderId="34" xfId="0" applyFont="1" applyBorder="1" applyAlignment="1">
      <alignment horizontal="center" vertical="center"/>
    </xf>
    <xf numFmtId="164" fontId="47" fillId="0" borderId="34" xfId="0" applyNumberFormat="1" applyFont="1" applyBorder="1" applyAlignment="1">
      <alignment horizontal="center" vertical="center"/>
    </xf>
    <xf numFmtId="164" fontId="47" fillId="0" borderId="63" xfId="0" applyNumberFormat="1" applyFont="1" applyBorder="1" applyAlignment="1">
      <alignment horizontal="center" vertical="center"/>
    </xf>
    <xf numFmtId="0" fontId="47" fillId="0" borderId="8" xfId="0" applyFont="1" applyBorder="1" applyAlignment="1">
      <alignment horizontal="center" vertical="center"/>
    </xf>
    <xf numFmtId="0" fontId="47" fillId="0" borderId="8" xfId="0" applyFont="1" applyBorder="1" applyAlignment="1">
      <alignment horizontal="center" vertical="center" wrapText="1"/>
    </xf>
    <xf numFmtId="0" fontId="86" fillId="0" borderId="8" xfId="0" applyFont="1" applyBorder="1" applyAlignment="1">
      <alignment horizontal="center" vertical="center" wrapText="1"/>
    </xf>
    <xf numFmtId="0" fontId="13" fillId="0" borderId="0" xfId="0" applyFont="1"/>
    <xf numFmtId="0" fontId="4" fillId="0" borderId="18" xfId="0" applyFont="1" applyBorder="1" applyAlignment="1">
      <alignment horizontal="left" vertical="center"/>
    </xf>
    <xf numFmtId="165" fontId="15" fillId="6" borderId="18" xfId="0" applyNumberFormat="1" applyFont="1" applyFill="1" applyBorder="1" applyAlignment="1">
      <alignment horizontal="center" vertical="center"/>
    </xf>
    <xf numFmtId="165" fontId="11" fillId="5" borderId="18" xfId="0" applyNumberFormat="1" applyFont="1" applyFill="1" applyBorder="1" applyAlignment="1">
      <alignment horizontal="center" vertical="center"/>
    </xf>
    <xf numFmtId="0" fontId="4" fillId="14" borderId="18" xfId="0" applyFont="1" applyFill="1" applyBorder="1" applyAlignment="1">
      <alignment wrapText="1"/>
    </xf>
    <xf numFmtId="165" fontId="11" fillId="6" borderId="18" xfId="0" applyNumberFormat="1" applyFont="1" applyFill="1" applyBorder="1" applyAlignment="1">
      <alignment horizontal="center" vertical="center"/>
    </xf>
    <xf numFmtId="0" fontId="4" fillId="14" borderId="18" xfId="0" applyFont="1" applyFill="1" applyBorder="1"/>
    <xf numFmtId="0" fontId="4" fillId="0" borderId="18" xfId="0" applyFont="1" applyBorder="1" applyAlignment="1">
      <alignment horizontal="left" vertical="center" wrapText="1"/>
    </xf>
    <xf numFmtId="0" fontId="58" fillId="18" borderId="18" xfId="5" applyNumberFormat="1" applyFont="1" applyFill="1" applyBorder="1" applyAlignment="1">
      <alignment horizontal="left" vertical="center" wrapText="1"/>
    </xf>
    <xf numFmtId="0" fontId="58" fillId="18" borderId="18" xfId="3" applyFont="1" applyFill="1" applyBorder="1" applyAlignment="1">
      <alignment horizontal="left" vertical="center"/>
    </xf>
    <xf numFmtId="0" fontId="58" fillId="18" borderId="18" xfId="3" applyFont="1" applyFill="1" applyBorder="1" applyAlignment="1">
      <alignment horizontal="center" vertical="center"/>
    </xf>
    <xf numFmtId="0" fontId="58" fillId="18" borderId="18" xfId="3" applyFont="1" applyFill="1" applyBorder="1" applyAlignment="1">
      <alignment horizontal="center"/>
    </xf>
    <xf numFmtId="0" fontId="4" fillId="0" borderId="17" xfId="0" applyFont="1" applyBorder="1"/>
    <xf numFmtId="0" fontId="0" fillId="0" borderId="47" xfId="0" applyBorder="1"/>
    <xf numFmtId="0" fontId="4" fillId="0" borderId="25" xfId="0" applyFont="1" applyBorder="1"/>
    <xf numFmtId="0" fontId="0" fillId="0" borderId="26" xfId="0" applyBorder="1"/>
    <xf numFmtId="0" fontId="0" fillId="0" borderId="48" xfId="0" applyBorder="1"/>
    <xf numFmtId="0" fontId="88" fillId="2" borderId="50" xfId="3" applyFont="1" applyFill="1" applyBorder="1" applyAlignment="1">
      <alignment horizontal="left"/>
    </xf>
    <xf numFmtId="0" fontId="89" fillId="2" borderId="17" xfId="5" applyNumberFormat="1" applyFont="1" applyFill="1" applyBorder="1" applyAlignment="1">
      <alignment horizontal="left" wrapText="1"/>
    </xf>
    <xf numFmtId="0" fontId="88" fillId="2" borderId="18" xfId="3" applyFont="1" applyFill="1" applyBorder="1" applyAlignment="1">
      <alignment horizontal="left"/>
    </xf>
    <xf numFmtId="0" fontId="89" fillId="2" borderId="25" xfId="5" applyNumberFormat="1" applyFont="1" applyFill="1" applyBorder="1" applyAlignment="1">
      <alignment horizontal="left" wrapText="1"/>
    </xf>
    <xf numFmtId="0" fontId="88" fillId="2" borderId="26" xfId="3" applyFont="1" applyFill="1" applyBorder="1" applyAlignment="1">
      <alignment horizontal="left"/>
    </xf>
    <xf numFmtId="0" fontId="16" fillId="2" borderId="0" xfId="0" applyFont="1" applyFill="1"/>
    <xf numFmtId="0" fontId="4" fillId="2" borderId="49" xfId="0" applyFont="1" applyFill="1" applyBorder="1"/>
    <xf numFmtId="0" fontId="4" fillId="2" borderId="50" xfId="0" applyFont="1" applyFill="1" applyBorder="1"/>
    <xf numFmtId="0" fontId="4" fillId="2" borderId="50" xfId="0" applyFont="1" applyFill="1" applyBorder="1" applyAlignment="1">
      <alignment horizontal="center" vertical="center"/>
    </xf>
    <xf numFmtId="0" fontId="4" fillId="2" borderId="13" xfId="0" applyFont="1" applyFill="1" applyBorder="1"/>
    <xf numFmtId="0" fontId="4" fillId="2" borderId="69" xfId="0" applyFont="1" applyFill="1" applyBorder="1"/>
    <xf numFmtId="0" fontId="4" fillId="2" borderId="25" xfId="0" applyFont="1" applyFill="1" applyBorder="1"/>
    <xf numFmtId="0" fontId="4" fillId="2" borderId="26" xfId="0" applyFont="1" applyFill="1" applyBorder="1"/>
    <xf numFmtId="0" fontId="4" fillId="2" borderId="26" xfId="0" applyFont="1" applyFill="1" applyBorder="1" applyAlignment="1">
      <alignment horizontal="center" vertical="center"/>
    </xf>
    <xf numFmtId="0" fontId="91" fillId="0" borderId="0" xfId="0" applyFont="1"/>
    <xf numFmtId="0" fontId="67" fillId="2" borderId="49" xfId="0" applyFont="1" applyFill="1" applyBorder="1" applyAlignment="1">
      <alignment horizontal="left" vertical="center" wrapText="1"/>
    </xf>
    <xf numFmtId="0" fontId="88" fillId="2" borderId="50" xfId="3" applyFont="1" applyFill="1" applyBorder="1" applyAlignment="1">
      <alignment horizontal="center" vertical="center"/>
    </xf>
    <xf numFmtId="0" fontId="88" fillId="2" borderId="18" xfId="3" applyFont="1" applyFill="1" applyBorder="1" applyAlignment="1">
      <alignment horizontal="center" vertical="center"/>
    </xf>
    <xf numFmtId="0" fontId="88" fillId="2" borderId="26" xfId="3" applyFont="1" applyFill="1" applyBorder="1" applyAlignment="1">
      <alignment horizontal="center" vertical="center"/>
    </xf>
    <xf numFmtId="0" fontId="92" fillId="0" borderId="0" xfId="0" applyFont="1"/>
    <xf numFmtId="0" fontId="92" fillId="0" borderId="0" xfId="0" applyFont="1" applyAlignment="1">
      <alignment horizontal="center"/>
    </xf>
    <xf numFmtId="0" fontId="89" fillId="0" borderId="11" xfId="0" applyFont="1" applyBorder="1" applyAlignment="1">
      <alignment vertical="center" wrapText="1"/>
    </xf>
    <xf numFmtId="0" fontId="58" fillId="0" borderId="12" xfId="0" applyFont="1" applyBorder="1" applyAlignment="1">
      <alignment horizontal="center" vertical="center" wrapText="1"/>
    </xf>
    <xf numFmtId="1" fontId="58" fillId="0" borderId="12" xfId="0" applyNumberFormat="1" applyFont="1" applyBorder="1" applyAlignment="1">
      <alignment horizontal="center" vertical="center" wrapText="1"/>
    </xf>
    <xf numFmtId="0" fontId="58" fillId="0" borderId="12" xfId="0" applyFont="1" applyBorder="1" applyAlignment="1">
      <alignment horizontal="center" vertical="center"/>
    </xf>
    <xf numFmtId="165" fontId="58" fillId="5" borderId="12" xfId="1" applyNumberFormat="1" applyFont="1" applyFill="1" applyBorder="1" applyAlignment="1">
      <alignment vertical="center"/>
    </xf>
    <xf numFmtId="165" fontId="4" fillId="6" borderId="12" xfId="1" applyNumberFormat="1" applyFont="1" applyFill="1" applyBorder="1" applyAlignment="1">
      <alignment vertical="center"/>
    </xf>
    <xf numFmtId="0" fontId="58" fillId="0" borderId="46" xfId="0" applyFont="1" applyBorder="1" applyAlignment="1">
      <alignment horizontal="center" vertical="center"/>
    </xf>
    <xf numFmtId="0" fontId="89" fillId="0" borderId="17" xfId="0" applyFont="1" applyBorder="1" applyAlignment="1">
      <alignment vertical="center" wrapText="1"/>
    </xf>
    <xf numFmtId="0" fontId="58" fillId="0" borderId="18" xfId="0" applyFont="1" applyBorder="1" applyAlignment="1">
      <alignment horizontal="center" vertical="center" wrapText="1"/>
    </xf>
    <xf numFmtId="1" fontId="58" fillId="0" borderId="18" xfId="0" applyNumberFormat="1" applyFont="1" applyBorder="1" applyAlignment="1">
      <alignment horizontal="center" vertical="center" wrapText="1"/>
    </xf>
    <xf numFmtId="0" fontId="58" fillId="0" borderId="18" xfId="0" applyFont="1" applyBorder="1" applyAlignment="1">
      <alignment horizontal="center" vertical="center"/>
    </xf>
    <xf numFmtId="165" fontId="58" fillId="5" borderId="18" xfId="1" applyNumberFormat="1" applyFont="1" applyFill="1" applyBorder="1" applyAlignment="1">
      <alignment vertical="center"/>
    </xf>
    <xf numFmtId="0" fontId="58" fillId="0" borderId="47" xfId="0" applyFont="1" applyBorder="1" applyAlignment="1">
      <alignment horizontal="center" vertical="center"/>
    </xf>
    <xf numFmtId="0" fontId="58" fillId="0" borderId="18" xfId="0" applyFont="1" applyBorder="1" applyAlignment="1">
      <alignment vertical="center" wrapText="1"/>
    </xf>
    <xf numFmtId="0" fontId="58" fillId="2" borderId="47" xfId="0" applyFont="1" applyFill="1" applyBorder="1" applyAlignment="1">
      <alignment horizontal="center" vertical="center" wrapText="1"/>
    </xf>
    <xf numFmtId="0" fontId="89" fillId="2" borderId="17" xfId="0" applyFont="1" applyFill="1" applyBorder="1" applyAlignment="1">
      <alignment vertical="center" wrapText="1"/>
    </xf>
    <xf numFmtId="0" fontId="58" fillId="2" borderId="18" xfId="0" applyFont="1" applyFill="1" applyBorder="1" applyAlignment="1">
      <alignment horizontal="center" vertical="center" wrapText="1"/>
    </xf>
    <xf numFmtId="0" fontId="58" fillId="2" borderId="18" xfId="0" applyFont="1" applyFill="1" applyBorder="1" applyAlignment="1">
      <alignment horizontal="center" vertical="center"/>
    </xf>
    <xf numFmtId="0" fontId="89" fillId="0" borderId="17" xfId="0" applyFont="1" applyBorder="1" applyAlignment="1">
      <alignment vertical="center"/>
    </xf>
    <xf numFmtId="0" fontId="89" fillId="0" borderId="18" xfId="0" applyFont="1" applyBorder="1" applyAlignment="1">
      <alignment vertical="center" wrapText="1"/>
    </xf>
    <xf numFmtId="165" fontId="4" fillId="6" borderId="18" xfId="1" applyNumberFormat="1" applyFont="1" applyFill="1" applyBorder="1" applyAlignment="1">
      <alignment vertical="center"/>
    </xf>
    <xf numFmtId="0" fontId="16" fillId="6" borderId="0" xfId="0" applyFont="1" applyFill="1"/>
    <xf numFmtId="14" fontId="94" fillId="0" borderId="8" xfId="0" applyNumberFormat="1" applyFont="1" applyBorder="1"/>
    <xf numFmtId="0" fontId="58" fillId="7" borderId="49" xfId="0" applyFont="1" applyFill="1" applyBorder="1" applyAlignment="1">
      <alignment horizontal="left" vertical="top" wrapText="1"/>
    </xf>
    <xf numFmtId="0" fontId="58" fillId="7" borderId="50" xfId="0" applyFont="1" applyFill="1" applyBorder="1" applyAlignment="1">
      <alignment horizontal="center" vertical="top" wrapText="1"/>
    </xf>
    <xf numFmtId="0" fontId="0" fillId="7" borderId="53" xfId="0" applyFill="1" applyBorder="1" applyAlignment="1">
      <alignment horizontal="left" vertical="center" wrapText="1"/>
    </xf>
    <xf numFmtId="0" fontId="58" fillId="7" borderId="24" xfId="0" applyFont="1" applyFill="1" applyBorder="1" applyAlignment="1">
      <alignment horizontal="left" vertical="top" wrapText="1"/>
    </xf>
    <xf numFmtId="0" fontId="58" fillId="7" borderId="26" xfId="0" applyFont="1" applyFill="1" applyBorder="1" applyAlignment="1">
      <alignment horizontal="center" vertical="top" wrapText="1"/>
    </xf>
    <xf numFmtId="0" fontId="58" fillId="7" borderId="57" xfId="0" applyFont="1" applyFill="1" applyBorder="1" applyAlignment="1">
      <alignment horizontal="center" vertical="top" wrapText="1"/>
    </xf>
    <xf numFmtId="0" fontId="96" fillId="7" borderId="38" xfId="0" applyFont="1" applyFill="1" applyBorder="1" applyAlignment="1">
      <alignment horizontal="left" vertical="top" wrapText="1"/>
    </xf>
    <xf numFmtId="0" fontId="58" fillId="7" borderId="33" xfId="0" applyFont="1" applyFill="1" applyBorder="1" applyAlignment="1">
      <alignment horizontal="left" vertical="top" wrapText="1"/>
    </xf>
    <xf numFmtId="0" fontId="58" fillId="7" borderId="51" xfId="0" applyFont="1" applyFill="1" applyBorder="1" applyAlignment="1">
      <alignment horizontal="center" vertical="top" wrapText="1"/>
    </xf>
    <xf numFmtId="0" fontId="58" fillId="7" borderId="85" xfId="0" applyFont="1" applyFill="1" applyBorder="1" applyAlignment="1">
      <alignment horizontal="left" vertical="top" wrapText="1"/>
    </xf>
    <xf numFmtId="0" fontId="58" fillId="7" borderId="86" xfId="0" applyFont="1" applyFill="1" applyBorder="1" applyAlignment="1">
      <alignment horizontal="center" vertical="top" wrapText="1"/>
    </xf>
    <xf numFmtId="0" fontId="98" fillId="7" borderId="48" xfId="0" applyFont="1" applyFill="1" applyBorder="1" applyAlignment="1">
      <alignment horizontal="left" vertical="center" wrapText="1"/>
    </xf>
    <xf numFmtId="0" fontId="96" fillId="7" borderId="50" xfId="0" applyFont="1" applyFill="1" applyBorder="1" applyAlignment="1">
      <alignment horizontal="center" vertical="top" wrapText="1"/>
    </xf>
    <xf numFmtId="0" fontId="58" fillId="7" borderId="25" xfId="0" applyFont="1" applyFill="1" applyBorder="1" applyAlignment="1">
      <alignment horizontal="left" vertical="top" wrapText="1"/>
    </xf>
    <xf numFmtId="0" fontId="96" fillId="7" borderId="26" xfId="0" applyFont="1" applyFill="1" applyBorder="1" applyAlignment="1">
      <alignment horizontal="center" vertical="top" wrapText="1"/>
    </xf>
    <xf numFmtId="0" fontId="58" fillId="7" borderId="48" xfId="0" applyFont="1" applyFill="1" applyBorder="1" applyAlignment="1">
      <alignment horizontal="left" vertical="top" wrapText="1"/>
    </xf>
    <xf numFmtId="0" fontId="6" fillId="0" borderId="7" xfId="0" applyFont="1" applyBorder="1" applyAlignment="1">
      <alignment horizontal="center" vertical="center"/>
    </xf>
    <xf numFmtId="0" fontId="6" fillId="2" borderId="49" xfId="0" applyFont="1" applyFill="1" applyBorder="1" applyAlignment="1">
      <alignment horizontal="left" vertical="center"/>
    </xf>
    <xf numFmtId="0" fontId="9" fillId="2" borderId="50" xfId="0" applyFont="1" applyFill="1" applyBorder="1" applyAlignment="1">
      <alignment horizontal="center" vertical="center"/>
    </xf>
    <xf numFmtId="0" fontId="11" fillId="2" borderId="50" xfId="0" applyFont="1" applyFill="1" applyBorder="1" applyAlignment="1">
      <alignment horizontal="center" vertical="center"/>
    </xf>
    <xf numFmtId="0" fontId="100" fillId="2" borderId="53" xfId="4" applyFont="1" applyFill="1" applyBorder="1" applyAlignment="1">
      <alignment horizontal="left" vertical="center" wrapText="1"/>
    </xf>
    <xf numFmtId="14" fontId="15" fillId="0" borderId="6" xfId="0" applyNumberFormat="1" applyFont="1" applyBorder="1" applyAlignment="1">
      <alignment horizontal="center" vertical="center" wrapText="1"/>
    </xf>
    <xf numFmtId="0" fontId="10" fillId="0" borderId="17" xfId="0" applyFont="1" applyBorder="1" applyAlignment="1">
      <alignment vertical="center" wrapText="1"/>
    </xf>
    <xf numFmtId="14" fontId="15" fillId="0" borderId="16" xfId="0" applyNumberFormat="1" applyFont="1" applyBorder="1" applyAlignment="1">
      <alignment horizontal="center" vertical="center" wrapText="1"/>
    </xf>
    <xf numFmtId="0" fontId="6" fillId="0" borderId="17" xfId="0" applyFont="1" applyBorder="1" applyAlignment="1">
      <alignment vertical="center"/>
    </xf>
    <xf numFmtId="164" fontId="28" fillId="2" borderId="18" xfId="0" applyNumberFormat="1" applyFont="1" applyFill="1" applyBorder="1" applyAlignment="1">
      <alignment horizontal="center" vertical="center"/>
    </xf>
    <xf numFmtId="164" fontId="28" fillId="2" borderId="18" xfId="1" applyNumberFormat="1" applyFont="1" applyFill="1" applyBorder="1" applyAlignment="1">
      <alignment horizontal="center" vertical="center"/>
    </xf>
    <xf numFmtId="0" fontId="101" fillId="0" borderId="47" xfId="0" applyFont="1" applyBorder="1" applyAlignment="1">
      <alignment horizontal="left" vertical="center"/>
    </xf>
    <xf numFmtId="0" fontId="101" fillId="0" borderId="47" xfId="0" applyFont="1" applyBorder="1" applyAlignment="1">
      <alignment vertical="center" wrapText="1"/>
    </xf>
    <xf numFmtId="0" fontId="10" fillId="0" borderId="17" xfId="0" applyFont="1" applyBorder="1" applyAlignment="1">
      <alignment horizontal="left" vertical="center" wrapText="1"/>
    </xf>
    <xf numFmtId="0" fontId="16" fillId="0" borderId="17" xfId="0" applyFont="1" applyBorder="1" applyAlignment="1">
      <alignment vertical="center" wrapText="1"/>
    </xf>
    <xf numFmtId="0" fontId="47" fillId="0" borderId="18" xfId="0" applyFont="1" applyBorder="1" applyAlignment="1">
      <alignment horizontal="center" vertical="center"/>
    </xf>
    <xf numFmtId="0" fontId="101" fillId="0" borderId="47" xfId="0" applyFont="1" applyBorder="1" applyAlignment="1">
      <alignment vertical="center"/>
    </xf>
    <xf numFmtId="0" fontId="5" fillId="0" borderId="17" xfId="0" applyFont="1" applyBorder="1" applyAlignment="1">
      <alignment vertical="center" wrapText="1"/>
    </xf>
    <xf numFmtId="0" fontId="28" fillId="0" borderId="26" xfId="0" applyFont="1" applyBorder="1" applyAlignment="1">
      <alignment horizontal="center" vertical="center" wrapText="1"/>
    </xf>
    <xf numFmtId="164" fontId="58" fillId="0" borderId="26" xfId="0" applyNumberFormat="1" applyFont="1" applyBorder="1" applyAlignment="1">
      <alignment horizontal="center" vertical="center"/>
    </xf>
    <xf numFmtId="0" fontId="11" fillId="2" borderId="26" xfId="0" applyFont="1" applyFill="1" applyBorder="1" applyAlignment="1">
      <alignment horizontal="center" vertical="center"/>
    </xf>
    <xf numFmtId="0" fontId="6" fillId="0" borderId="39" xfId="0" applyFont="1" applyBorder="1" applyAlignment="1">
      <alignment horizontal="center" vertical="center"/>
    </xf>
    <xf numFmtId="14" fontId="46" fillId="0" borderId="30" xfId="0" applyNumberFormat="1" applyFont="1" applyBorder="1" applyAlignment="1">
      <alignment horizontal="center" vertical="center"/>
    </xf>
    <xf numFmtId="0" fontId="10" fillId="0" borderId="14" xfId="0" applyFont="1" applyBorder="1" applyAlignment="1">
      <alignment vertical="center" wrapText="1"/>
    </xf>
    <xf numFmtId="0" fontId="28" fillId="0" borderId="50" xfId="0" applyFont="1" applyBorder="1" applyAlignment="1">
      <alignment horizontal="center" vertical="center" wrapText="1"/>
    </xf>
    <xf numFmtId="164" fontId="58" fillId="0" borderId="50" xfId="0" applyNumberFormat="1" applyFont="1" applyBorder="1" applyAlignment="1">
      <alignment horizontal="center" vertical="center"/>
    </xf>
    <xf numFmtId="0" fontId="11" fillId="2" borderId="50" xfId="0" applyFont="1" applyFill="1" applyBorder="1" applyAlignment="1">
      <alignment vertical="center" wrapText="1"/>
    </xf>
    <xf numFmtId="0" fontId="47" fillId="0" borderId="69" xfId="0" applyFont="1" applyBorder="1" applyAlignment="1">
      <alignment horizontal="left" vertical="center" wrapText="1"/>
    </xf>
    <xf numFmtId="0" fontId="6" fillId="0" borderId="10" xfId="0" applyFont="1" applyBorder="1" applyAlignment="1">
      <alignment horizontal="center" vertical="center"/>
    </xf>
    <xf numFmtId="0" fontId="10" fillId="0" borderId="61" xfId="0" applyFont="1" applyBorder="1" applyAlignment="1">
      <alignment vertical="center" wrapText="1"/>
    </xf>
    <xf numFmtId="164" fontId="28" fillId="2" borderId="26" xfId="1" applyNumberFormat="1" applyFont="1" applyFill="1" applyBorder="1" applyAlignment="1">
      <alignment horizontal="center" vertical="center"/>
    </xf>
    <xf numFmtId="0" fontId="11" fillId="2" borderId="26" xfId="0" applyFont="1" applyFill="1" applyBorder="1" applyAlignment="1">
      <alignment vertical="center" wrapText="1"/>
    </xf>
    <xf numFmtId="0" fontId="47" fillId="0" borderId="48" xfId="0" applyFont="1" applyBorder="1" applyAlignment="1">
      <alignment horizontal="left" vertical="center" wrapText="1"/>
    </xf>
    <xf numFmtId="0" fontId="6" fillId="0" borderId="0" xfId="0" applyFont="1" applyAlignment="1">
      <alignment horizontal="center"/>
    </xf>
    <xf numFmtId="0" fontId="15" fillId="0" borderId="0" xfId="0" applyFont="1"/>
    <xf numFmtId="0" fontId="103" fillId="0" borderId="0" xfId="0" applyFont="1"/>
    <xf numFmtId="0" fontId="6" fillId="12" borderId="63" xfId="0" applyFont="1" applyFill="1" applyBorder="1" applyAlignment="1">
      <alignment horizontal="center" vertical="center" wrapText="1"/>
    </xf>
    <xf numFmtId="0" fontId="1" fillId="2" borderId="0" xfId="0" applyFont="1" applyFill="1" applyAlignment="1">
      <alignment horizontal="center" vertical="center"/>
    </xf>
    <xf numFmtId="0" fontId="4" fillId="2" borderId="0" xfId="0" applyFont="1" applyFill="1" applyAlignment="1">
      <alignment horizontal="center" vertical="center"/>
    </xf>
    <xf numFmtId="0" fontId="6" fillId="12" borderId="34" xfId="0" applyFont="1" applyFill="1" applyBorder="1" applyAlignment="1">
      <alignment horizontal="center" vertical="center" wrapText="1"/>
    </xf>
    <xf numFmtId="0" fontId="4" fillId="2" borderId="7" xfId="0" applyFont="1" applyFill="1" applyBorder="1" applyAlignment="1">
      <alignment horizontal="center" vertical="center"/>
    </xf>
    <xf numFmtId="0" fontId="10" fillId="2" borderId="11" xfId="0" applyFont="1" applyFill="1" applyBorder="1" applyAlignment="1">
      <alignment vertical="center" wrapText="1"/>
    </xf>
    <xf numFmtId="1" fontId="28" fillId="2" borderId="12" xfId="4" applyNumberFormat="1" applyFont="1" applyFill="1" applyBorder="1" applyAlignment="1">
      <alignment horizontal="center" vertical="center" wrapText="1"/>
    </xf>
    <xf numFmtId="1" fontId="28" fillId="2" borderId="12" xfId="4" applyNumberFormat="1" applyFont="1" applyFill="1" applyBorder="1" applyAlignment="1">
      <alignment horizontal="center" vertical="center"/>
    </xf>
    <xf numFmtId="1" fontId="28" fillId="2" borderId="72" xfId="4" applyNumberFormat="1" applyFont="1" applyFill="1" applyBorder="1" applyAlignment="1">
      <alignment horizontal="center" vertical="center" wrapText="1"/>
    </xf>
    <xf numFmtId="1" fontId="28" fillId="2" borderId="72" xfId="0" applyNumberFormat="1" applyFont="1" applyFill="1" applyBorder="1" applyAlignment="1">
      <alignment horizontal="left" vertical="center"/>
    </xf>
    <xf numFmtId="14" fontId="28" fillId="2" borderId="72" xfId="0" applyNumberFormat="1" applyFont="1" applyFill="1" applyBorder="1" applyAlignment="1">
      <alignment horizontal="center" vertical="center"/>
    </xf>
    <xf numFmtId="0" fontId="4" fillId="2" borderId="16" xfId="0" applyFont="1" applyFill="1" applyBorder="1" applyAlignment="1">
      <alignment horizontal="center" vertical="center"/>
    </xf>
    <xf numFmtId="164" fontId="28" fillId="2" borderId="12" xfId="1" applyNumberFormat="1" applyFont="1" applyFill="1" applyBorder="1" applyAlignment="1">
      <alignment horizontal="center" vertical="center"/>
    </xf>
    <xf numFmtId="0" fontId="1" fillId="2" borderId="0" xfId="0" applyFont="1" applyFill="1"/>
    <xf numFmtId="0" fontId="10" fillId="2" borderId="17" xfId="4" applyFont="1" applyFill="1" applyBorder="1" applyAlignment="1">
      <alignment vertical="center" wrapText="1"/>
    </xf>
    <xf numFmtId="1" fontId="28" fillId="2" borderId="18" xfId="4" applyNumberFormat="1" applyFont="1" applyFill="1" applyBorder="1" applyAlignment="1">
      <alignment horizontal="center" vertical="center" wrapText="1"/>
    </xf>
    <xf numFmtId="1" fontId="28" fillId="2" borderId="18" xfId="4" applyNumberFormat="1" applyFont="1" applyFill="1" applyBorder="1" applyAlignment="1">
      <alignment horizontal="center" vertical="center"/>
    </xf>
    <xf numFmtId="164" fontId="28" fillId="2" borderId="20" xfId="1" applyNumberFormat="1" applyFont="1" applyFill="1" applyBorder="1" applyAlignment="1">
      <alignment horizontal="center" vertical="center"/>
    </xf>
    <xf numFmtId="1" fontId="28" fillId="2" borderId="16" xfId="4" applyNumberFormat="1" applyFont="1" applyFill="1" applyBorder="1" applyAlignment="1">
      <alignment horizontal="left" vertical="center"/>
    </xf>
    <xf numFmtId="0" fontId="10" fillId="2" borderId="17" xfId="0" applyFont="1" applyFill="1" applyBorder="1" applyAlignment="1">
      <alignment vertical="center" wrapText="1"/>
    </xf>
    <xf numFmtId="1" fontId="28" fillId="2" borderId="16" xfId="4" applyNumberFormat="1" applyFont="1" applyFill="1" applyBorder="1" applyAlignment="1">
      <alignment horizontal="center" vertical="center" wrapText="1"/>
    </xf>
    <xf numFmtId="1" fontId="28" fillId="2" borderId="16" xfId="0" applyNumberFormat="1" applyFont="1" applyFill="1" applyBorder="1" applyAlignment="1">
      <alignment horizontal="left" vertical="center"/>
    </xf>
    <xf numFmtId="14" fontId="28" fillId="2" borderId="16" xfId="4" applyNumberFormat="1" applyFont="1" applyFill="1" applyBorder="1" applyAlignment="1">
      <alignment horizontal="center" vertical="center"/>
    </xf>
    <xf numFmtId="14" fontId="28" fillId="2" borderId="16" xfId="0" applyNumberFormat="1" applyFont="1" applyFill="1" applyBorder="1" applyAlignment="1">
      <alignment horizontal="center" vertical="center"/>
    </xf>
    <xf numFmtId="164" fontId="28" fillId="6" borderId="20" xfId="1" applyNumberFormat="1" applyFont="1" applyFill="1" applyBorder="1" applyAlignment="1">
      <alignment horizontal="center" vertical="center"/>
    </xf>
    <xf numFmtId="14" fontId="28" fillId="2" borderId="16" xfId="0" applyNumberFormat="1" applyFont="1" applyFill="1" applyBorder="1" applyAlignment="1">
      <alignment horizontal="center" vertical="center" wrapText="1"/>
    </xf>
    <xf numFmtId="0" fontId="2" fillId="2" borderId="0" xfId="0" applyFont="1" applyFill="1"/>
    <xf numFmtId="0" fontId="46" fillId="2" borderId="0" xfId="0" applyFont="1" applyFill="1"/>
    <xf numFmtId="0" fontId="10" fillId="2" borderId="17" xfId="0" applyFont="1" applyFill="1" applyBorder="1" applyAlignment="1">
      <alignment horizontal="left" vertical="center" wrapText="1"/>
    </xf>
    <xf numFmtId="0" fontId="28" fillId="2" borderId="18" xfId="0" applyFont="1" applyFill="1" applyBorder="1" applyAlignment="1">
      <alignment horizontal="center" vertical="center"/>
    </xf>
    <xf numFmtId="0" fontId="28" fillId="2" borderId="16" xfId="0" applyFont="1" applyFill="1" applyBorder="1" applyAlignment="1">
      <alignment horizontal="left" vertical="center"/>
    </xf>
    <xf numFmtId="1" fontId="28" fillId="2" borderId="20" xfId="4" applyNumberFormat="1" applyFont="1" applyFill="1" applyBorder="1" applyAlignment="1">
      <alignment horizontal="center" vertical="center"/>
    </xf>
    <xf numFmtId="0" fontId="10" fillId="2" borderId="17" xfId="3" applyFont="1" applyFill="1" applyBorder="1" applyAlignment="1">
      <alignment vertical="center" wrapText="1"/>
    </xf>
    <xf numFmtId="0" fontId="58" fillId="2" borderId="16" xfId="0" applyFont="1" applyFill="1" applyBorder="1" applyAlignment="1">
      <alignment horizontal="left" vertical="center"/>
    </xf>
    <xf numFmtId="1" fontId="28" fillId="2" borderId="16" xfId="0" applyNumberFormat="1" applyFont="1" applyFill="1" applyBorder="1" applyAlignment="1">
      <alignment horizontal="left" vertical="center" wrapText="1"/>
    </xf>
    <xf numFmtId="0" fontId="4" fillId="2" borderId="10" xfId="0" applyFont="1" applyFill="1" applyBorder="1" applyAlignment="1">
      <alignment horizontal="center" vertical="center"/>
    </xf>
    <xf numFmtId="0" fontId="10" fillId="2" borderId="25" xfId="0" applyFont="1" applyFill="1" applyBorder="1" applyAlignment="1">
      <alignment vertical="center" wrapText="1"/>
    </xf>
    <xf numFmtId="1" fontId="28" fillId="2" borderId="26" xfId="4" applyNumberFormat="1" applyFont="1" applyFill="1" applyBorder="1" applyAlignment="1">
      <alignment horizontal="center" vertical="center" wrapText="1"/>
    </xf>
    <xf numFmtId="1" fontId="28" fillId="2" borderId="26" xfId="4" applyNumberFormat="1" applyFont="1" applyFill="1" applyBorder="1" applyAlignment="1">
      <alignment horizontal="center" vertical="center"/>
    </xf>
    <xf numFmtId="164" fontId="28" fillId="2" borderId="27" xfId="1" applyNumberFormat="1" applyFont="1" applyFill="1" applyBorder="1" applyAlignment="1">
      <alignment horizontal="center" vertical="center"/>
    </xf>
    <xf numFmtId="1" fontId="28" fillId="2" borderId="10" xfId="4" applyNumberFormat="1" applyFont="1" applyFill="1" applyBorder="1" applyAlignment="1">
      <alignment horizontal="center" vertical="center" wrapText="1"/>
    </xf>
    <xf numFmtId="1" fontId="28" fillId="2" borderId="10" xfId="0" applyNumberFormat="1" applyFont="1" applyFill="1" applyBorder="1" applyAlignment="1">
      <alignment horizontal="left" vertical="center"/>
    </xf>
    <xf numFmtId="14" fontId="28" fillId="2" borderId="10" xfId="0" applyNumberFormat="1" applyFont="1" applyFill="1" applyBorder="1" applyAlignment="1">
      <alignment horizontal="center" vertical="center"/>
    </xf>
    <xf numFmtId="0" fontId="10" fillId="2" borderId="0" xfId="0" applyFont="1" applyFill="1" applyAlignment="1">
      <alignment vertical="center" wrapText="1"/>
    </xf>
    <xf numFmtId="1" fontId="28" fillId="2" borderId="0" xfId="4" applyNumberFormat="1" applyFont="1" applyFill="1" applyAlignment="1">
      <alignment horizontal="center" vertical="center" wrapText="1"/>
    </xf>
    <xf numFmtId="1" fontId="28" fillId="2" borderId="0" xfId="4" applyNumberFormat="1" applyFont="1" applyFill="1" applyAlignment="1">
      <alignment horizontal="center" vertical="center"/>
    </xf>
    <xf numFmtId="164" fontId="28" fillId="2" borderId="0" xfId="1" applyNumberFormat="1" applyFont="1" applyFill="1" applyBorder="1" applyAlignment="1">
      <alignment horizontal="center" vertical="center"/>
    </xf>
    <xf numFmtId="1" fontId="28" fillId="2" borderId="0" xfId="0" applyNumberFormat="1" applyFont="1" applyFill="1" applyAlignment="1">
      <alignment horizontal="left" vertical="center"/>
    </xf>
    <xf numFmtId="14" fontId="28" fillId="2" borderId="0" xfId="0" applyNumberFormat="1" applyFont="1" applyFill="1" applyAlignment="1">
      <alignment horizontal="center" vertical="center"/>
    </xf>
    <xf numFmtId="0" fontId="4" fillId="2" borderId="5" xfId="0" applyFont="1" applyFill="1" applyBorder="1" applyAlignment="1">
      <alignment horizontal="center" vertical="center"/>
    </xf>
    <xf numFmtId="0" fontId="4" fillId="2" borderId="0" xfId="0" applyFont="1" applyFill="1" applyAlignment="1">
      <alignment wrapText="1"/>
    </xf>
    <xf numFmtId="1" fontId="104" fillId="2" borderId="0" xfId="4" applyNumberFormat="1" applyFont="1" applyFill="1" applyAlignment="1">
      <alignment horizontal="center" vertical="center" wrapText="1"/>
    </xf>
    <xf numFmtId="0" fontId="46" fillId="0" borderId="0" xfId="0" applyFont="1" applyAlignment="1">
      <alignment horizontal="center"/>
    </xf>
    <xf numFmtId="1" fontId="104" fillId="0" borderId="0" xfId="4" applyNumberFormat="1" applyFont="1" applyAlignment="1">
      <alignment horizontal="center" vertical="top" wrapText="1"/>
    </xf>
    <xf numFmtId="0" fontId="11" fillId="0" borderId="23" xfId="0" applyFont="1" applyBorder="1" applyAlignment="1">
      <alignment horizontal="left" vertical="center" wrapText="1"/>
    </xf>
    <xf numFmtId="0" fontId="0" fillId="0" borderId="0" xfId="0" applyAlignment="1">
      <alignment horizontal="left"/>
    </xf>
    <xf numFmtId="0" fontId="33" fillId="19" borderId="43" xfId="0" applyFont="1" applyFill="1" applyBorder="1" applyAlignment="1">
      <alignment vertical="center" wrapText="1"/>
    </xf>
    <xf numFmtId="0" fontId="33" fillId="19" borderId="43" xfId="0" applyFont="1" applyFill="1" applyBorder="1" applyAlignment="1">
      <alignment horizontal="center" vertical="center" wrapText="1"/>
    </xf>
    <xf numFmtId="0" fontId="33" fillId="19" borderId="43" xfId="0" applyFont="1" applyFill="1" applyBorder="1" applyAlignment="1">
      <alignment horizontal="left" vertical="center" wrapText="1"/>
    </xf>
    <xf numFmtId="0" fontId="16" fillId="19" borderId="43" xfId="0" applyFont="1" applyFill="1" applyBorder="1" applyAlignment="1">
      <alignment horizontal="center" vertical="center" wrapText="1"/>
    </xf>
    <xf numFmtId="0" fontId="47" fillId="5" borderId="42" xfId="0" applyFont="1" applyFill="1" applyBorder="1" applyAlignment="1">
      <alignment horizontal="center" vertical="center" wrapText="1"/>
    </xf>
    <xf numFmtId="0" fontId="47" fillId="5" borderId="5" xfId="0" applyFont="1" applyFill="1" applyBorder="1" applyAlignment="1">
      <alignment horizontal="center" vertical="center" wrapText="1"/>
    </xf>
    <xf numFmtId="0" fontId="47" fillId="6" borderId="8" xfId="0" applyFont="1" applyFill="1" applyBorder="1" applyAlignment="1">
      <alignment vertical="center" wrapText="1"/>
    </xf>
    <xf numFmtId="49" fontId="106" fillId="0" borderId="18" xfId="0" applyNumberFormat="1" applyFont="1" applyBorder="1" applyAlignment="1">
      <alignment horizontal="left" vertical="center"/>
    </xf>
    <xf numFmtId="165" fontId="106" fillId="0" borderId="18" xfId="0" applyNumberFormat="1" applyFont="1" applyBorder="1" applyAlignment="1">
      <alignment horizontal="center" vertical="center" wrapText="1"/>
    </xf>
    <xf numFmtId="0" fontId="54" fillId="21" borderId="1" xfId="0" applyFont="1" applyFill="1" applyBorder="1"/>
    <xf numFmtId="0" fontId="0" fillId="21" borderId="6" xfId="0" applyFill="1" applyBorder="1" applyAlignment="1">
      <alignment wrapText="1"/>
    </xf>
    <xf numFmtId="0" fontId="27" fillId="0" borderId="18" xfId="0" applyFont="1" applyBorder="1" applyAlignment="1">
      <alignment horizontal="left" vertical="center"/>
    </xf>
    <xf numFmtId="49" fontId="27" fillId="22" borderId="18" xfId="0" applyNumberFormat="1" applyFont="1" applyFill="1" applyBorder="1" applyAlignment="1">
      <alignment horizontal="left" vertical="center"/>
    </xf>
    <xf numFmtId="165" fontId="27" fillId="22" borderId="18" xfId="0" applyNumberFormat="1" applyFont="1" applyFill="1" applyBorder="1" applyAlignment="1">
      <alignment horizontal="center" vertical="center"/>
    </xf>
    <xf numFmtId="0" fontId="0" fillId="7" borderId="18" xfId="0" applyFill="1" applyBorder="1"/>
    <xf numFmtId="165" fontId="0" fillId="7" borderId="18" xfId="0" applyNumberFormat="1" applyFill="1" applyBorder="1"/>
    <xf numFmtId="0" fontId="27" fillId="10" borderId="18" xfId="0" applyFont="1" applyFill="1" applyBorder="1" applyAlignment="1">
      <alignment horizontal="left" vertical="center"/>
    </xf>
    <xf numFmtId="165" fontId="27" fillId="10" borderId="18" xfId="0" applyNumberFormat="1" applyFont="1" applyFill="1" applyBorder="1" applyAlignment="1">
      <alignment horizontal="center" vertical="center"/>
    </xf>
    <xf numFmtId="0" fontId="0" fillId="10" borderId="18" xfId="0" applyFill="1" applyBorder="1"/>
    <xf numFmtId="0" fontId="108" fillId="21" borderId="1" xfId="0" applyFont="1" applyFill="1" applyBorder="1"/>
    <xf numFmtId="0" fontId="27" fillId="20" borderId="18" xfId="0" applyFont="1" applyFill="1" applyBorder="1" applyAlignment="1">
      <alignment horizontal="left" vertical="center"/>
    </xf>
    <xf numFmtId="165" fontId="27" fillId="20" borderId="18" xfId="0" applyNumberFormat="1" applyFont="1" applyFill="1" applyBorder="1" applyAlignment="1">
      <alignment horizontal="center" vertical="center"/>
    </xf>
    <xf numFmtId="0" fontId="27" fillId="5" borderId="18" xfId="0" applyFont="1" applyFill="1" applyBorder="1" applyAlignment="1">
      <alignment horizontal="left" vertical="center"/>
    </xf>
    <xf numFmtId="165" fontId="27" fillId="5" borderId="18" xfId="0" applyNumberFormat="1" applyFont="1" applyFill="1" applyBorder="1" applyAlignment="1">
      <alignment horizontal="center" vertical="center"/>
    </xf>
    <xf numFmtId="0" fontId="27" fillId="5" borderId="18" xfId="0" applyFont="1" applyFill="1" applyBorder="1"/>
    <xf numFmtId="165" fontId="27" fillId="5" borderId="18" xfId="0" applyNumberFormat="1" applyFont="1" applyFill="1" applyBorder="1" applyAlignment="1">
      <alignment horizontal="center"/>
    </xf>
    <xf numFmtId="0" fontId="31" fillId="23" borderId="18" xfId="0" applyFont="1" applyFill="1" applyBorder="1"/>
    <xf numFmtId="0" fontId="27" fillId="23" borderId="18" xfId="0" applyFont="1" applyFill="1" applyBorder="1" applyAlignment="1">
      <alignment horizontal="left" vertical="center"/>
    </xf>
    <xf numFmtId="165" fontId="27" fillId="23" borderId="18" xfId="0" applyNumberFormat="1" applyFont="1" applyFill="1" applyBorder="1" applyAlignment="1">
      <alignment horizontal="center"/>
    </xf>
    <xf numFmtId="0" fontId="31" fillId="23" borderId="18" xfId="0" applyFont="1" applyFill="1" applyBorder="1" applyAlignment="1">
      <alignment horizontal="left" vertical="center"/>
    </xf>
    <xf numFmtId="0" fontId="27" fillId="24" borderId="18" xfId="0" applyFont="1" applyFill="1" applyBorder="1" applyAlignment="1">
      <alignment horizontal="left" vertical="center"/>
    </xf>
    <xf numFmtId="0" fontId="0" fillId="24" borderId="18" xfId="0" applyFill="1" applyBorder="1"/>
    <xf numFmtId="165" fontId="0" fillId="24" borderId="18" xfId="0" applyNumberFormat="1" applyFill="1" applyBorder="1" applyAlignment="1">
      <alignment horizontal="center"/>
    </xf>
    <xf numFmtId="0" fontId="53" fillId="0" borderId="49" xfId="0" applyFont="1" applyBorder="1" applyAlignment="1">
      <alignment horizontal="center"/>
    </xf>
    <xf numFmtId="0" fontId="11" fillId="0" borderId="50" xfId="0" applyFont="1" applyBorder="1" applyAlignment="1">
      <alignment horizontal="center"/>
    </xf>
    <xf numFmtId="166" fontId="11" fillId="5" borderId="50" xfId="2" applyNumberFormat="1" applyFont="1" applyFill="1" applyBorder="1" applyAlignment="1">
      <alignment horizontal="right" vertical="center"/>
    </xf>
    <xf numFmtId="166" fontId="6" fillId="5" borderId="50" xfId="2" applyNumberFormat="1" applyFont="1" applyFill="1" applyBorder="1" applyAlignment="1">
      <alignment horizontal="right" vertical="center"/>
    </xf>
    <xf numFmtId="166" fontId="11" fillId="5" borderId="50" xfId="2" applyNumberFormat="1" applyFont="1" applyFill="1" applyBorder="1" applyAlignment="1">
      <alignment vertical="center"/>
    </xf>
    <xf numFmtId="166" fontId="11" fillId="5" borderId="50" xfId="2" applyNumberFormat="1" applyFont="1" applyFill="1" applyBorder="1"/>
    <xf numFmtId="166" fontId="5" fillId="0" borderId="53" xfId="2" applyNumberFormat="1" applyFont="1" applyBorder="1"/>
    <xf numFmtId="0" fontId="53" fillId="0" borderId="17" xfId="0" applyFont="1" applyBorder="1" applyAlignment="1">
      <alignment horizontal="center"/>
    </xf>
    <xf numFmtId="166" fontId="11" fillId="5" borderId="18" xfId="2" applyNumberFormat="1" applyFont="1" applyFill="1" applyBorder="1" applyAlignment="1">
      <alignment horizontal="right" vertical="center"/>
    </xf>
    <xf numFmtId="166" fontId="6" fillId="5" borderId="18" xfId="2" applyNumberFormat="1" applyFont="1" applyFill="1" applyBorder="1" applyAlignment="1">
      <alignment horizontal="right" vertical="center"/>
    </xf>
    <xf numFmtId="166" fontId="11" fillId="5" borderId="18" xfId="2" applyNumberFormat="1" applyFont="1" applyFill="1" applyBorder="1" applyAlignment="1">
      <alignment vertical="center"/>
    </xf>
    <xf numFmtId="166" fontId="11" fillId="5" borderId="18" xfId="2" applyNumberFormat="1" applyFont="1" applyFill="1" applyBorder="1"/>
    <xf numFmtId="166" fontId="5" fillId="0" borderId="47" xfId="2" applyNumberFormat="1" applyFont="1" applyBorder="1"/>
    <xf numFmtId="0" fontId="53" fillId="0" borderId="67" xfId="0" applyFont="1" applyBorder="1" applyAlignment="1">
      <alignment horizontal="center"/>
    </xf>
    <xf numFmtId="0" fontId="11" fillId="0" borderId="36" xfId="0" applyFont="1" applyBorder="1" applyAlignment="1">
      <alignment horizontal="center"/>
    </xf>
    <xf numFmtId="166" fontId="11" fillId="5" borderId="36" xfId="2" applyNumberFormat="1" applyFont="1" applyFill="1" applyBorder="1" applyAlignment="1">
      <alignment horizontal="right" vertical="center"/>
    </xf>
    <xf numFmtId="166" fontId="6" fillId="5" borderId="36" xfId="2" applyNumberFormat="1" applyFont="1" applyFill="1" applyBorder="1" applyAlignment="1">
      <alignment horizontal="right" vertical="center"/>
    </xf>
    <xf numFmtId="166" fontId="11" fillId="5" borderId="36" xfId="2" applyNumberFormat="1" applyFont="1" applyFill="1" applyBorder="1" applyAlignment="1">
      <alignment vertical="center"/>
    </xf>
    <xf numFmtId="166" fontId="11" fillId="5" borderId="36" xfId="2" applyNumberFormat="1" applyFont="1" applyFill="1" applyBorder="1"/>
    <xf numFmtId="166" fontId="5" fillId="0" borderId="54" xfId="2" applyNumberFormat="1" applyFont="1" applyBorder="1"/>
    <xf numFmtId="0" fontId="11" fillId="0" borderId="26" xfId="0" applyFont="1" applyBorder="1" applyAlignment="1">
      <alignment horizontal="center"/>
    </xf>
    <xf numFmtId="166" fontId="11" fillId="5" borderId="26" xfId="2" applyNumberFormat="1" applyFont="1" applyFill="1" applyBorder="1" applyAlignment="1">
      <alignment horizontal="right" vertical="center"/>
    </xf>
    <xf numFmtId="166" fontId="6" fillId="5" borderId="26" xfId="2" applyNumberFormat="1" applyFont="1" applyFill="1" applyBorder="1" applyAlignment="1">
      <alignment horizontal="right" vertical="center"/>
    </xf>
    <xf numFmtId="166" fontId="11" fillId="5" borderId="26" xfId="2" applyNumberFormat="1" applyFont="1" applyFill="1" applyBorder="1" applyAlignment="1">
      <alignment vertical="center"/>
    </xf>
    <xf numFmtId="166" fontId="11" fillId="5" borderId="26" xfId="2" applyNumberFormat="1" applyFont="1" applyFill="1" applyBorder="1"/>
    <xf numFmtId="166" fontId="5" fillId="0" borderId="48" xfId="2" applyNumberFormat="1" applyFont="1" applyBorder="1"/>
    <xf numFmtId="0" fontId="53" fillId="0" borderId="11" xfId="0" applyFont="1" applyBorder="1" applyAlignment="1">
      <alignment horizontal="center"/>
    </xf>
    <xf numFmtId="0" fontId="11" fillId="0" borderId="12" xfId="0" applyFont="1" applyBorder="1" applyAlignment="1">
      <alignment horizontal="center"/>
    </xf>
    <xf numFmtId="166" fontId="11" fillId="5" borderId="12" xfId="2" applyNumberFormat="1" applyFont="1" applyFill="1" applyBorder="1" applyAlignment="1">
      <alignment horizontal="right" vertical="center"/>
    </xf>
    <xf numFmtId="166" fontId="6" fillId="5" borderId="12" xfId="2" applyNumberFormat="1" applyFont="1" applyFill="1" applyBorder="1" applyAlignment="1">
      <alignment horizontal="right" vertical="center"/>
    </xf>
    <xf numFmtId="166" fontId="11" fillId="5" borderId="12" xfId="2" applyNumberFormat="1" applyFont="1" applyFill="1" applyBorder="1" applyAlignment="1">
      <alignment vertical="center"/>
    </xf>
    <xf numFmtId="166" fontId="11" fillId="5" borderId="12" xfId="2" applyNumberFormat="1" applyFont="1" applyFill="1" applyBorder="1"/>
    <xf numFmtId="166" fontId="5" fillId="0" borderId="46" xfId="2" applyNumberFormat="1" applyFont="1" applyBorder="1"/>
    <xf numFmtId="0" fontId="53" fillId="0" borderId="70" xfId="0" applyFont="1" applyBorder="1" applyAlignment="1">
      <alignment horizontal="center"/>
    </xf>
    <xf numFmtId="0" fontId="11" fillId="0" borderId="37" xfId="0" applyFont="1" applyBorder="1" applyAlignment="1">
      <alignment horizontal="center"/>
    </xf>
    <xf numFmtId="166" fontId="11" fillId="5" borderId="37" xfId="2" applyNumberFormat="1" applyFont="1" applyFill="1" applyBorder="1" applyAlignment="1">
      <alignment horizontal="right" vertical="center"/>
    </xf>
    <xf numFmtId="166" fontId="6" fillId="5" borderId="37" xfId="2" applyNumberFormat="1" applyFont="1" applyFill="1" applyBorder="1" applyAlignment="1">
      <alignment horizontal="right" vertical="center"/>
    </xf>
    <xf numFmtId="166" fontId="11" fillId="5" borderId="37" xfId="2" applyNumberFormat="1" applyFont="1" applyFill="1" applyBorder="1" applyAlignment="1">
      <alignment vertical="center"/>
    </xf>
    <xf numFmtId="166" fontId="11" fillId="5" borderId="37" xfId="2" applyNumberFormat="1" applyFont="1" applyFill="1" applyBorder="1"/>
    <xf numFmtId="166" fontId="5" fillId="0" borderId="55" xfId="2" applyNumberFormat="1" applyFont="1" applyBorder="1"/>
    <xf numFmtId="0" fontId="11" fillId="0" borderId="34" xfId="0" applyFont="1" applyBorder="1" applyAlignment="1">
      <alignment horizontal="center"/>
    </xf>
    <xf numFmtId="166" fontId="11" fillId="0" borderId="34" xfId="2" applyNumberFormat="1" applyFont="1" applyFill="1" applyBorder="1" applyAlignment="1">
      <alignment horizontal="right" vertical="center"/>
    </xf>
    <xf numFmtId="166" fontId="6" fillId="0" borderId="34" xfId="2" applyNumberFormat="1" applyFont="1" applyFill="1" applyBorder="1" applyAlignment="1">
      <alignment horizontal="right" vertical="center"/>
    </xf>
    <xf numFmtId="166" fontId="11" fillId="0" borderId="34" xfId="2" applyNumberFormat="1" applyFont="1" applyFill="1" applyBorder="1" applyAlignment="1">
      <alignment horizontal="right"/>
    </xf>
    <xf numFmtId="166" fontId="11" fillId="0" borderId="34" xfId="2" applyNumberFormat="1" applyFont="1" applyBorder="1"/>
    <xf numFmtId="0" fontId="11" fillId="0" borderId="35" xfId="0" applyFont="1" applyBorder="1"/>
    <xf numFmtId="0" fontId="6" fillId="0" borderId="65" xfId="0" applyFont="1" applyBorder="1" applyAlignment="1">
      <alignment vertical="center" wrapText="1"/>
    </xf>
    <xf numFmtId="0" fontId="11" fillId="0" borderId="49" xfId="0" applyFont="1" applyBorder="1" applyAlignment="1">
      <alignment horizontal="center" vertical="center"/>
    </xf>
    <xf numFmtId="164" fontId="11" fillId="5" borderId="50" xfId="1" applyNumberFormat="1" applyFont="1" applyFill="1" applyBorder="1" applyAlignment="1">
      <alignment horizontal="right" vertical="center"/>
    </xf>
    <xf numFmtId="0" fontId="11" fillId="0" borderId="53" xfId="0" applyFont="1" applyBorder="1" applyAlignment="1">
      <alignment horizontal="center" vertical="center"/>
    </xf>
    <xf numFmtId="0" fontId="6" fillId="0" borderId="64" xfId="0" applyFont="1" applyBorder="1" applyAlignment="1">
      <alignment vertical="center" wrapText="1"/>
    </xf>
    <xf numFmtId="164" fontId="11" fillId="5" borderId="18" xfId="1" applyNumberFormat="1" applyFont="1" applyFill="1" applyBorder="1" applyAlignment="1">
      <alignment horizontal="right" vertical="center"/>
    </xf>
    <xf numFmtId="0" fontId="11" fillId="0" borderId="47" xfId="0" applyFont="1" applyBorder="1" applyAlignment="1">
      <alignment horizontal="center" vertical="center"/>
    </xf>
    <xf numFmtId="0" fontId="6" fillId="0" borderId="66" xfId="0" applyFont="1" applyBorder="1" applyAlignment="1">
      <alignment vertical="center" wrapText="1"/>
    </xf>
    <xf numFmtId="164" fontId="11" fillId="5" borderId="26" xfId="1" applyNumberFormat="1" applyFont="1" applyFill="1" applyBorder="1" applyAlignment="1">
      <alignment horizontal="right" vertical="center"/>
    </xf>
    <xf numFmtId="0" fontId="11" fillId="0" borderId="48" xfId="0" applyFont="1" applyBorder="1" applyAlignment="1">
      <alignment horizontal="center" vertical="center"/>
    </xf>
    <xf numFmtId="0" fontId="6" fillId="0" borderId="0" xfId="0" applyFont="1" applyAlignment="1">
      <alignment vertical="center" wrapText="1"/>
    </xf>
    <xf numFmtId="0" fontId="11" fillId="0" borderId="0" xfId="0" applyFont="1" applyAlignment="1">
      <alignment horizontal="right"/>
    </xf>
    <xf numFmtId="164" fontId="11" fillId="2" borderId="0" xfId="1" applyNumberFormat="1" applyFont="1" applyFill="1" applyBorder="1" applyAlignment="1">
      <alignment horizontal="right" vertical="center"/>
    </xf>
    <xf numFmtId="164" fontId="5" fillId="0" borderId="0" xfId="0" applyNumberFormat="1" applyFont="1" applyAlignment="1">
      <alignment horizontal="center"/>
    </xf>
    <xf numFmtId="0" fontId="39" fillId="0" borderId="6" xfId="0" applyFont="1" applyBorder="1" applyAlignment="1">
      <alignment horizontal="center" vertical="center" wrapText="1"/>
    </xf>
    <xf numFmtId="0" fontId="6" fillId="10" borderId="8" xfId="0" applyFont="1" applyFill="1" applyBorder="1" applyAlignment="1">
      <alignment vertical="center" wrapText="1"/>
    </xf>
    <xf numFmtId="0" fontId="6" fillId="10" borderId="8" xfId="0" applyFont="1" applyFill="1" applyBorder="1" applyAlignment="1">
      <alignment horizontal="left" wrapText="1"/>
    </xf>
    <xf numFmtId="0" fontId="6" fillId="10" borderId="39" xfId="0" applyFont="1" applyFill="1" applyBorder="1" applyAlignment="1">
      <alignment vertical="center" wrapText="1"/>
    </xf>
    <xf numFmtId="0" fontId="6" fillId="10" borderId="8" xfId="0" applyFont="1" applyFill="1" applyBorder="1" applyAlignment="1">
      <alignment horizontal="left" vertical="center" wrapText="1"/>
    </xf>
    <xf numFmtId="0" fontId="16" fillId="2" borderId="18" xfId="0" applyFont="1" applyFill="1" applyBorder="1" applyAlignment="1">
      <alignment horizontal="center" vertical="center" wrapText="1"/>
    </xf>
    <xf numFmtId="0" fontId="16" fillId="2" borderId="18" xfId="0" applyFont="1" applyFill="1" applyBorder="1" applyAlignment="1">
      <alignment wrapText="1"/>
    </xf>
    <xf numFmtId="0" fontId="4" fillId="2" borderId="18" xfId="0" applyFont="1" applyFill="1" applyBorder="1" applyAlignment="1">
      <alignment horizontal="center" wrapText="1"/>
    </xf>
    <xf numFmtId="0" fontId="4" fillId="5" borderId="18" xfId="0" applyFont="1" applyFill="1" applyBorder="1" applyAlignment="1">
      <alignment horizontal="center" wrapText="1"/>
    </xf>
    <xf numFmtId="0" fontId="4" fillId="6" borderId="18" xfId="0" applyFont="1" applyFill="1" applyBorder="1" applyAlignment="1">
      <alignment horizontal="center" wrapText="1"/>
    </xf>
    <xf numFmtId="0" fontId="16" fillId="7" borderId="18" xfId="0" applyFont="1" applyFill="1" applyBorder="1" applyAlignment="1">
      <alignment wrapText="1"/>
    </xf>
    <xf numFmtId="0" fontId="33" fillId="25" borderId="8" xfId="0" applyFont="1" applyFill="1" applyBorder="1" applyAlignment="1">
      <alignment horizontal="center" vertical="center" wrapText="1"/>
    </xf>
    <xf numFmtId="0" fontId="33" fillId="25" borderId="43" xfId="0" applyFont="1" applyFill="1" applyBorder="1" applyAlignment="1">
      <alignment horizontal="center" vertical="center" wrapText="1"/>
    </xf>
    <xf numFmtId="0" fontId="47" fillId="25" borderId="43" xfId="0" applyFont="1" applyFill="1" applyBorder="1" applyAlignment="1">
      <alignment horizontal="center" vertical="center" wrapText="1"/>
    </xf>
    <xf numFmtId="0" fontId="47" fillId="26" borderId="43" xfId="0" applyFont="1" applyFill="1" applyBorder="1" applyAlignment="1">
      <alignment horizontal="center" vertical="center" wrapText="1"/>
    </xf>
    <xf numFmtId="0" fontId="47" fillId="6" borderId="43" xfId="0" applyFont="1" applyFill="1" applyBorder="1" applyAlignment="1">
      <alignment horizontal="center" vertical="center" wrapText="1"/>
    </xf>
    <xf numFmtId="0" fontId="33" fillId="27" borderId="43" xfId="0" applyFont="1" applyFill="1" applyBorder="1" applyAlignment="1">
      <alignment horizontal="center" vertical="center" wrapText="1"/>
    </xf>
    <xf numFmtId="0" fontId="0" fillId="0" borderId="18" xfId="0" applyBorder="1"/>
    <xf numFmtId="8" fontId="0" fillId="0" borderId="18" xfId="0" applyNumberFormat="1" applyBorder="1"/>
    <xf numFmtId="0" fontId="9" fillId="0" borderId="17" xfId="0" applyFont="1" applyBorder="1" applyAlignment="1">
      <alignment vertical="center"/>
    </xf>
    <xf numFmtId="14" fontId="28" fillId="2" borderId="47" xfId="0" applyNumberFormat="1" applyFont="1" applyFill="1" applyBorder="1" applyAlignment="1">
      <alignment horizontal="center" vertical="center"/>
    </xf>
    <xf numFmtId="0" fontId="9" fillId="0" borderId="25" xfId="0" applyFont="1" applyBorder="1" applyAlignment="1">
      <alignment vertical="center"/>
    </xf>
    <xf numFmtId="0" fontId="10" fillId="0" borderId="26" xfId="0" applyFont="1" applyBorder="1" applyAlignment="1">
      <alignment horizontal="center" vertical="center"/>
    </xf>
    <xf numFmtId="0" fontId="28" fillId="0" borderId="26" xfId="0" applyFont="1" applyBorder="1" applyAlignment="1">
      <alignment horizontal="center" vertical="center"/>
    </xf>
    <xf numFmtId="14" fontId="28" fillId="2" borderId="48" xfId="0" applyNumberFormat="1" applyFont="1" applyFill="1" applyBorder="1" applyAlignment="1">
      <alignment horizontal="center" vertical="center"/>
    </xf>
    <xf numFmtId="0" fontId="7" fillId="6" borderId="0" xfId="0" applyFont="1" applyFill="1" applyAlignment="1">
      <alignment vertical="center"/>
    </xf>
    <xf numFmtId="0" fontId="9" fillId="2" borderId="17" xfId="0" applyFont="1" applyFill="1" applyBorder="1" applyAlignment="1">
      <alignment vertical="center" wrapText="1"/>
    </xf>
    <xf numFmtId="0" fontId="12" fillId="2" borderId="18" xfId="0" applyFont="1" applyFill="1" applyBorder="1" applyAlignment="1">
      <alignment vertical="center" wrapText="1"/>
    </xf>
    <xf numFmtId="0" fontId="28" fillId="2" borderId="18" xfId="0" applyFont="1" applyFill="1" applyBorder="1" applyAlignment="1">
      <alignment horizontal="center" vertical="center" wrapText="1"/>
    </xf>
    <xf numFmtId="0" fontId="28" fillId="2" borderId="18" xfId="0" applyFont="1" applyFill="1" applyBorder="1" applyAlignment="1">
      <alignment vertical="center" wrapText="1"/>
    </xf>
    <xf numFmtId="165" fontId="28" fillId="5" borderId="18" xfId="1" applyNumberFormat="1" applyFont="1" applyFill="1" applyBorder="1" applyAlignment="1">
      <alignment vertical="center"/>
    </xf>
    <xf numFmtId="0" fontId="15" fillId="2" borderId="18" xfId="0" applyFont="1" applyFill="1" applyBorder="1" applyAlignment="1">
      <alignment horizontal="center" vertical="center" wrapText="1"/>
    </xf>
    <xf numFmtId="0" fontId="28" fillId="2" borderId="26" xfId="0" applyFont="1" applyFill="1" applyBorder="1" applyAlignment="1">
      <alignment horizontal="center" vertical="center" wrapText="1"/>
    </xf>
    <xf numFmtId="0" fontId="28" fillId="2" borderId="26" xfId="0" applyFont="1" applyFill="1" applyBorder="1" applyAlignment="1">
      <alignment vertical="center" wrapText="1"/>
    </xf>
    <xf numFmtId="165" fontId="28" fillId="5" borderId="26" xfId="1" applyNumberFormat="1" applyFont="1" applyFill="1" applyBorder="1" applyAlignment="1">
      <alignment vertical="center"/>
    </xf>
    <xf numFmtId="0" fontId="5" fillId="28" borderId="0" xfId="0" applyFont="1" applyFill="1"/>
    <xf numFmtId="0" fontId="1" fillId="0" borderId="0" xfId="0" applyFont="1" applyAlignment="1">
      <alignment vertical="center"/>
    </xf>
    <xf numFmtId="0" fontId="11" fillId="0" borderId="7" xfId="0" applyFont="1" applyBorder="1" applyAlignment="1">
      <alignment horizontal="center"/>
    </xf>
    <xf numFmtId="0" fontId="10" fillId="2" borderId="49" xfId="0" applyFont="1" applyFill="1" applyBorder="1" applyAlignment="1">
      <alignment horizontal="center" vertical="center" wrapText="1"/>
    </xf>
    <xf numFmtId="0" fontId="10" fillId="2" borderId="50" xfId="0" applyFont="1" applyFill="1" applyBorder="1" applyAlignment="1">
      <alignment horizontal="center" vertical="center" wrapText="1"/>
    </xf>
    <xf numFmtId="0" fontId="28" fillId="2" borderId="50" xfId="0" applyFont="1" applyFill="1" applyBorder="1" applyAlignment="1">
      <alignment horizontal="center" vertical="center" wrapText="1"/>
    </xf>
    <xf numFmtId="0" fontId="12" fillId="2" borderId="50" xfId="0" applyFont="1" applyFill="1" applyBorder="1" applyAlignment="1">
      <alignment horizontal="center" vertical="center" wrapText="1"/>
    </xf>
    <xf numFmtId="166" fontId="12" fillId="5" borderId="50" xfId="2" applyNumberFormat="1" applyFont="1" applyFill="1" applyBorder="1" applyAlignment="1">
      <alignment vertical="center" wrapText="1"/>
    </xf>
    <xf numFmtId="166" fontId="12" fillId="6" borderId="13" xfId="2" applyNumberFormat="1" applyFont="1" applyFill="1" applyBorder="1" applyAlignment="1">
      <alignment vertical="center" wrapText="1"/>
    </xf>
    <xf numFmtId="14" fontId="15" fillId="2" borderId="53" xfId="0" applyNumberFormat="1" applyFont="1" applyFill="1" applyBorder="1" applyAlignment="1">
      <alignment horizontal="center" vertical="center" wrapText="1"/>
    </xf>
    <xf numFmtId="0" fontId="11" fillId="0" borderId="16" xfId="0" applyFont="1" applyBorder="1" applyAlignment="1">
      <alignment horizontal="center"/>
    </xf>
    <xf numFmtId="0" fontId="9" fillId="2" borderId="17" xfId="0" applyFont="1" applyFill="1" applyBorder="1" applyAlignment="1">
      <alignment horizontal="center" vertical="center" wrapText="1"/>
    </xf>
    <xf numFmtId="0" fontId="9" fillId="2" borderId="18" xfId="0" applyFont="1" applyFill="1" applyBorder="1" applyAlignment="1">
      <alignment horizontal="center" vertical="center" wrapText="1"/>
    </xf>
    <xf numFmtId="166" fontId="12" fillId="6" borderId="20" xfId="2" applyNumberFormat="1" applyFont="1" applyFill="1" applyBorder="1" applyAlignment="1">
      <alignment vertical="center" wrapText="1"/>
    </xf>
    <xf numFmtId="14" fontId="15" fillId="2" borderId="47" xfId="0" applyNumberFormat="1" applyFont="1" applyFill="1" applyBorder="1" applyAlignment="1">
      <alignment horizontal="center" vertical="center" wrapText="1"/>
    </xf>
    <xf numFmtId="14" fontId="15" fillId="2" borderId="47" xfId="0" applyNumberFormat="1" applyFont="1" applyFill="1" applyBorder="1" applyAlignment="1">
      <alignment horizontal="center" vertical="center"/>
    </xf>
    <xf numFmtId="0" fontId="12" fillId="2" borderId="18" xfId="0" applyFont="1" applyFill="1" applyBorder="1" applyAlignment="1">
      <alignment horizontal="center" vertical="center"/>
    </xf>
    <xf numFmtId="166" fontId="12" fillId="5" borderId="36" xfId="2" applyNumberFormat="1" applyFont="1" applyFill="1" applyBorder="1" applyAlignment="1">
      <alignment vertical="center" wrapText="1"/>
    </xf>
    <xf numFmtId="0" fontId="6" fillId="2" borderId="17" xfId="0" applyFont="1" applyFill="1" applyBorder="1" applyAlignment="1">
      <alignment horizontal="center" vertical="center"/>
    </xf>
    <xf numFmtId="0" fontId="9" fillId="18" borderId="18" xfId="0" applyFont="1" applyFill="1" applyBorder="1" applyAlignment="1">
      <alignment horizontal="center" vertical="center" wrapText="1"/>
    </xf>
    <xf numFmtId="0" fontId="6" fillId="18" borderId="18" xfId="0" applyFont="1" applyFill="1" applyBorder="1" applyAlignment="1">
      <alignment horizontal="center" vertical="center"/>
    </xf>
    <xf numFmtId="0" fontId="48" fillId="0" borderId="18" xfId="0" applyFont="1" applyBorder="1" applyAlignment="1">
      <alignment horizontal="center" vertical="center" wrapText="1"/>
    </xf>
    <xf numFmtId="0" fontId="9" fillId="2" borderId="17" xfId="0" applyFont="1" applyFill="1" applyBorder="1" applyAlignment="1">
      <alignment horizontal="center" vertical="center"/>
    </xf>
    <xf numFmtId="0" fontId="9" fillId="18" borderId="18" xfId="0" applyFont="1" applyFill="1" applyBorder="1" applyAlignment="1">
      <alignment horizontal="center" vertical="center"/>
    </xf>
    <xf numFmtId="166" fontId="12" fillId="6" borderId="22" xfId="2" applyNumberFormat="1" applyFont="1" applyFill="1" applyBorder="1" applyAlignment="1">
      <alignment vertical="center" wrapText="1"/>
    </xf>
    <xf numFmtId="0" fontId="9" fillId="2" borderId="67"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12" fillId="2" borderId="36" xfId="0" applyFont="1" applyFill="1" applyBorder="1" applyAlignment="1">
      <alignment horizontal="center" vertical="center" wrapText="1"/>
    </xf>
    <xf numFmtId="14" fontId="15" fillId="2" borderId="59" xfId="0" applyNumberFormat="1" applyFont="1" applyFill="1" applyBorder="1" applyAlignment="1">
      <alignment horizontal="center" vertical="center"/>
    </xf>
    <xf numFmtId="0" fontId="9" fillId="2" borderId="50" xfId="0" applyFont="1" applyFill="1" applyBorder="1" applyAlignment="1">
      <alignment horizontal="center" vertical="center" wrapText="1"/>
    </xf>
    <xf numFmtId="166" fontId="12" fillId="5" borderId="77" xfId="2" applyNumberFormat="1" applyFont="1" applyFill="1" applyBorder="1" applyAlignment="1">
      <alignment vertical="center" wrapText="1"/>
    </xf>
    <xf numFmtId="166" fontId="12" fillId="6" borderId="19" xfId="2" applyNumberFormat="1" applyFont="1" applyFill="1" applyBorder="1" applyAlignment="1">
      <alignment vertical="center" wrapText="1"/>
    </xf>
    <xf numFmtId="166" fontId="12" fillId="5" borderId="20" xfId="2" applyNumberFormat="1" applyFont="1" applyFill="1" applyBorder="1" applyAlignment="1">
      <alignment vertical="center" wrapText="1"/>
    </xf>
    <xf numFmtId="166" fontId="12" fillId="5" borderId="27" xfId="2" applyNumberFormat="1" applyFont="1" applyFill="1" applyBorder="1" applyAlignment="1">
      <alignment vertical="center" wrapText="1"/>
    </xf>
    <xf numFmtId="14" fontId="15" fillId="2" borderId="48" xfId="0" applyNumberFormat="1" applyFont="1" applyFill="1" applyBorder="1" applyAlignment="1">
      <alignment horizontal="center" vertical="center" wrapText="1"/>
    </xf>
    <xf numFmtId="0" fontId="11" fillId="0" borderId="19" xfId="0" applyFont="1" applyBorder="1" applyAlignment="1">
      <alignment horizontal="center"/>
    </xf>
    <xf numFmtId="0" fontId="9" fillId="18" borderId="17" xfId="0" applyFont="1" applyFill="1" applyBorder="1" applyAlignment="1">
      <alignment vertical="center" wrapText="1"/>
    </xf>
    <xf numFmtId="0" fontId="11" fillId="0" borderId="20" xfId="0" applyFont="1" applyBorder="1" applyAlignment="1">
      <alignment horizontal="center"/>
    </xf>
    <xf numFmtId="0" fontId="11" fillId="0" borderId="10" xfId="0" applyFont="1" applyBorder="1" applyAlignment="1">
      <alignment horizontal="center"/>
    </xf>
    <xf numFmtId="0" fontId="9" fillId="18" borderId="25" xfId="0" applyFont="1" applyFill="1" applyBorder="1" applyAlignment="1">
      <alignment vertical="center" wrapText="1"/>
    </xf>
    <xf numFmtId="0" fontId="9" fillId="18" borderId="26" xfId="0" applyFont="1" applyFill="1" applyBorder="1" applyAlignment="1">
      <alignment horizontal="center" vertical="center" wrapText="1"/>
    </xf>
    <xf numFmtId="166" fontId="12" fillId="5" borderId="26" xfId="2" applyNumberFormat="1" applyFont="1" applyFill="1" applyBorder="1" applyAlignment="1">
      <alignment vertical="center" wrapText="1"/>
    </xf>
    <xf numFmtId="166" fontId="12" fillId="6" borderId="27" xfId="2" applyNumberFormat="1" applyFont="1" applyFill="1" applyBorder="1" applyAlignment="1">
      <alignment vertical="center" wrapText="1"/>
    </xf>
    <xf numFmtId="14" fontId="15" fillId="2" borderId="48" xfId="0" applyNumberFormat="1" applyFont="1" applyFill="1" applyBorder="1" applyAlignment="1">
      <alignment horizontal="center" vertical="center"/>
    </xf>
    <xf numFmtId="0" fontId="47" fillId="0" borderId="4" xfId="0" applyFont="1" applyBorder="1"/>
    <xf numFmtId="0" fontId="0" fillId="0" borderId="5" xfId="0" applyBorder="1"/>
    <xf numFmtId="0" fontId="4" fillId="0" borderId="4" xfId="0" applyFont="1" applyBorder="1"/>
    <xf numFmtId="0" fontId="0" fillId="0" borderId="40" xfId="0" applyBorder="1"/>
    <xf numFmtId="0" fontId="0" fillId="0" borderId="29" xfId="0" applyBorder="1"/>
    <xf numFmtId="0" fontId="0" fillId="0" borderId="42" xfId="0" applyBorder="1"/>
    <xf numFmtId="0" fontId="116" fillId="10" borderId="17" xfId="0" applyFont="1" applyFill="1" applyBorder="1" applyAlignment="1">
      <alignment horizontal="center" vertical="center"/>
    </xf>
    <xf numFmtId="0" fontId="116" fillId="10" borderId="18" xfId="0" applyFont="1" applyFill="1" applyBorder="1" applyAlignment="1">
      <alignment horizontal="center" vertical="center" wrapText="1"/>
    </xf>
    <xf numFmtId="0" fontId="116" fillId="10" borderId="47" xfId="0" applyFont="1" applyFill="1" applyBorder="1" applyAlignment="1">
      <alignment horizontal="center" vertical="center" wrapText="1"/>
    </xf>
    <xf numFmtId="0" fontId="118" fillId="10" borderId="11" xfId="0" applyFont="1" applyFill="1" applyBorder="1" applyAlignment="1">
      <alignment horizontal="center" vertical="center"/>
    </xf>
    <xf numFmtId="0" fontId="118" fillId="10" borderId="12" xfId="0" applyFont="1" applyFill="1" applyBorder="1" applyAlignment="1">
      <alignment horizontal="center" vertical="center"/>
    </xf>
    <xf numFmtId="0" fontId="118" fillId="10" borderId="12" xfId="0" applyFont="1" applyFill="1" applyBorder="1" applyAlignment="1">
      <alignment horizontal="left" vertical="center" wrapText="1"/>
    </xf>
    <xf numFmtId="0" fontId="118" fillId="10" borderId="12" xfId="0" applyFont="1" applyFill="1" applyBorder="1" applyAlignment="1">
      <alignment horizontal="center" vertical="center" wrapText="1"/>
    </xf>
    <xf numFmtId="0" fontId="118" fillId="10" borderId="46" xfId="0" applyFont="1" applyFill="1" applyBorder="1" applyAlignment="1">
      <alignment horizontal="center" vertical="center" wrapText="1"/>
    </xf>
    <xf numFmtId="14" fontId="0" fillId="0" borderId="0" xfId="0" applyNumberFormat="1"/>
    <xf numFmtId="0" fontId="4" fillId="2" borderId="0" xfId="0" applyFont="1" applyFill="1" applyAlignment="1">
      <alignment vertical="center"/>
    </xf>
    <xf numFmtId="164" fontId="6" fillId="6" borderId="19" xfId="1" applyNumberFormat="1" applyFont="1" applyFill="1" applyBorder="1" applyAlignment="1">
      <alignment horizontal="center" vertical="center"/>
    </xf>
    <xf numFmtId="164" fontId="6" fillId="6" borderId="73" xfId="1" applyNumberFormat="1" applyFont="1" applyFill="1" applyBorder="1" applyAlignment="1">
      <alignment horizontal="center" vertical="center"/>
    </xf>
    <xf numFmtId="0" fontId="68" fillId="2" borderId="47" xfId="0" applyFont="1" applyFill="1" applyBorder="1" applyAlignment="1">
      <alignment vertical="center" wrapText="1"/>
    </xf>
    <xf numFmtId="0" fontId="68" fillId="2" borderId="47" xfId="0" applyFont="1" applyFill="1" applyBorder="1" applyAlignment="1">
      <alignment vertical="center"/>
    </xf>
    <xf numFmtId="0" fontId="49" fillId="2" borderId="47" xfId="0" applyFont="1" applyFill="1" applyBorder="1" applyAlignment="1">
      <alignment vertical="center" wrapText="1"/>
    </xf>
    <xf numFmtId="0" fontId="68" fillId="2" borderId="46" xfId="0" applyFont="1" applyFill="1" applyBorder="1" applyAlignment="1">
      <alignment vertical="center" wrapText="1"/>
    </xf>
    <xf numFmtId="0" fontId="6" fillId="29" borderId="17" xfId="0" applyFont="1" applyFill="1" applyBorder="1" applyAlignment="1">
      <alignment vertical="center" wrapText="1"/>
    </xf>
    <xf numFmtId="0" fontId="6" fillId="2" borderId="17" xfId="0" applyFont="1" applyFill="1" applyBorder="1" applyAlignment="1">
      <alignment vertical="center" wrapText="1"/>
    </xf>
    <xf numFmtId="0" fontId="9" fillId="2" borderId="18" xfId="0" applyFont="1" applyFill="1" applyBorder="1" applyAlignment="1">
      <alignment horizontal="center" vertical="center"/>
    </xf>
    <xf numFmtId="0" fontId="12" fillId="2" borderId="19" xfId="0"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1" fillId="2" borderId="19" xfId="1" applyNumberFormat="1" applyFont="1" applyFill="1" applyBorder="1" applyAlignment="1">
      <alignment horizontal="center" vertical="center"/>
    </xf>
    <xf numFmtId="164" fontId="28" fillId="6" borderId="57" xfId="1" applyNumberFormat="1" applyFont="1" applyFill="1" applyBorder="1" applyAlignment="1">
      <alignment horizontal="center" vertical="center"/>
    </xf>
    <xf numFmtId="164" fontId="28" fillId="5" borderId="12" xfId="1" applyNumberFormat="1" applyFont="1" applyFill="1" applyBorder="1" applyAlignment="1">
      <alignment horizontal="center" vertical="center"/>
    </xf>
    <xf numFmtId="164" fontId="28" fillId="5" borderId="18" xfId="1" applyNumberFormat="1" applyFont="1" applyFill="1" applyBorder="1" applyAlignment="1">
      <alignment horizontal="center" vertical="center"/>
    </xf>
    <xf numFmtId="164" fontId="28" fillId="5" borderId="31" xfId="1" applyNumberFormat="1" applyFont="1" applyFill="1" applyBorder="1" applyAlignment="1">
      <alignment horizontal="center" vertical="center"/>
    </xf>
    <xf numFmtId="164" fontId="28" fillId="5" borderId="57" xfId="1" applyNumberFormat="1" applyFont="1" applyFill="1" applyBorder="1" applyAlignment="1">
      <alignment horizontal="center" vertical="center"/>
    </xf>
    <xf numFmtId="0" fontId="11" fillId="10" borderId="0" xfId="0" applyFont="1" applyFill="1"/>
    <xf numFmtId="0" fontId="16" fillId="10" borderId="26" xfId="0" applyFont="1" applyFill="1" applyBorder="1" applyAlignment="1">
      <alignment horizontal="center" vertical="center" wrapText="1"/>
    </xf>
    <xf numFmtId="0" fontId="6" fillId="10" borderId="36" xfId="0" applyFont="1" applyFill="1" applyBorder="1" applyAlignment="1">
      <alignment horizontal="left" vertical="center"/>
    </xf>
    <xf numFmtId="0" fontId="9" fillId="10" borderId="37" xfId="0" applyFont="1" applyFill="1" applyBorder="1" applyAlignment="1">
      <alignment horizontal="center" vertical="center"/>
    </xf>
    <xf numFmtId="0" fontId="10" fillId="10" borderId="37" xfId="0" applyFont="1" applyFill="1" applyBorder="1" applyAlignment="1">
      <alignment horizontal="center" vertical="center" wrapText="1"/>
    </xf>
    <xf numFmtId="0" fontId="6" fillId="10" borderId="37" xfId="0" applyFont="1" applyFill="1" applyBorder="1" applyAlignment="1">
      <alignment horizontal="center" vertical="center" wrapText="1"/>
    </xf>
    <xf numFmtId="0" fontId="6" fillId="10" borderId="37" xfId="0" applyFont="1" applyFill="1" applyBorder="1" applyAlignment="1">
      <alignment horizontal="center" vertical="center"/>
    </xf>
    <xf numFmtId="0" fontId="25" fillId="10" borderId="38" xfId="4" applyFont="1" applyFill="1" applyBorder="1" applyAlignment="1">
      <alignment horizontal="center" vertical="center" wrapText="1"/>
    </xf>
    <xf numFmtId="165" fontId="11" fillId="2" borderId="18" xfId="1" applyNumberFormat="1" applyFont="1" applyFill="1" applyBorder="1" applyAlignment="1">
      <alignment vertical="center"/>
    </xf>
    <xf numFmtId="165" fontId="11" fillId="2" borderId="18" xfId="1" applyNumberFormat="1" applyFont="1" applyFill="1" applyBorder="1" applyAlignment="1">
      <alignment horizontal="left" vertical="center"/>
    </xf>
    <xf numFmtId="0" fontId="6" fillId="10" borderId="8" xfId="0" applyFont="1" applyFill="1" applyBorder="1" applyAlignment="1">
      <alignment horizontal="center" vertical="center" wrapText="1"/>
    </xf>
    <xf numFmtId="164" fontId="6" fillId="10" borderId="8" xfId="0" applyNumberFormat="1" applyFont="1" applyFill="1" applyBorder="1" applyAlignment="1">
      <alignment horizontal="center" vertical="center" wrapText="1"/>
    </xf>
    <xf numFmtId="164" fontId="11" fillId="6" borderId="19" xfId="2" applyNumberFormat="1" applyFont="1" applyFill="1" applyBorder="1" applyAlignment="1">
      <alignment horizontal="center" vertical="center"/>
    </xf>
    <xf numFmtId="164" fontId="11" fillId="6" borderId="20" xfId="2" applyNumberFormat="1" applyFont="1" applyFill="1" applyBorder="1" applyAlignment="1">
      <alignment horizontal="center" vertical="center"/>
    </xf>
    <xf numFmtId="164" fontId="6" fillId="6" borderId="20" xfId="2" applyNumberFormat="1" applyFont="1" applyFill="1" applyBorder="1" applyAlignment="1">
      <alignment horizontal="center" vertical="center"/>
    </xf>
    <xf numFmtId="164" fontId="6" fillId="6" borderId="20" xfId="2" applyNumberFormat="1" applyFont="1" applyFill="1" applyBorder="1" applyAlignment="1">
      <alignment horizontal="center" vertical="center" wrapText="1"/>
    </xf>
    <xf numFmtId="164" fontId="11" fillId="5" borderId="12" xfId="2" applyNumberFormat="1" applyFont="1" applyFill="1" applyBorder="1" applyAlignment="1">
      <alignment horizontal="center" vertical="center"/>
    </xf>
    <xf numFmtId="164" fontId="11" fillId="5" borderId="18" xfId="2" applyNumberFormat="1" applyFont="1" applyFill="1" applyBorder="1" applyAlignment="1">
      <alignment horizontal="center" vertical="center"/>
    </xf>
    <xf numFmtId="164" fontId="6" fillId="5" borderId="18" xfId="2" applyNumberFormat="1" applyFont="1" applyFill="1" applyBorder="1" applyAlignment="1">
      <alignment horizontal="center" vertical="center"/>
    </xf>
    <xf numFmtId="164" fontId="11" fillId="5" borderId="26" xfId="0" applyNumberFormat="1" applyFont="1" applyFill="1" applyBorder="1" applyAlignment="1">
      <alignment vertical="center"/>
    </xf>
    <xf numFmtId="0" fontId="16" fillId="10" borderId="16" xfId="0" applyFont="1" applyFill="1" applyBorder="1" applyAlignment="1">
      <alignment horizontal="center"/>
    </xf>
    <xf numFmtId="6" fontId="16" fillId="10" borderId="16" xfId="0" applyNumberFormat="1" applyFont="1" applyFill="1" applyBorder="1" applyAlignment="1">
      <alignment horizontal="center"/>
    </xf>
    <xf numFmtId="0" fontId="16" fillId="10" borderId="30" xfId="0" applyFont="1" applyFill="1" applyBorder="1" applyAlignment="1">
      <alignment horizontal="center"/>
    </xf>
    <xf numFmtId="6" fontId="16" fillId="10" borderId="30" xfId="0" applyNumberFormat="1" applyFont="1" applyFill="1" applyBorder="1" applyAlignment="1">
      <alignment horizontal="center"/>
    </xf>
    <xf numFmtId="0" fontId="16" fillId="10" borderId="10" xfId="0" applyFont="1" applyFill="1" applyBorder="1" applyAlignment="1">
      <alignment horizontal="center"/>
    </xf>
    <xf numFmtId="6" fontId="16" fillId="10" borderId="10" xfId="0" applyNumberFormat="1" applyFont="1" applyFill="1" applyBorder="1" applyAlignment="1">
      <alignment horizontal="center"/>
    </xf>
    <xf numFmtId="0" fontId="33" fillId="10" borderId="39" xfId="0" applyFont="1" applyFill="1" applyBorder="1" applyAlignment="1">
      <alignment horizontal="center" vertical="center"/>
    </xf>
    <xf numFmtId="0" fontId="33" fillId="10" borderId="5" xfId="0" applyFont="1" applyFill="1" applyBorder="1" applyAlignment="1">
      <alignment horizontal="center" vertical="center"/>
    </xf>
    <xf numFmtId="0" fontId="33" fillId="10" borderId="5" xfId="0" applyFont="1" applyFill="1" applyBorder="1" applyAlignment="1">
      <alignment horizontal="center" vertical="center" wrapText="1"/>
    </xf>
    <xf numFmtId="0" fontId="33" fillId="10" borderId="5" xfId="0" applyFont="1" applyFill="1" applyBorder="1" applyAlignment="1">
      <alignment vertical="center"/>
    </xf>
    <xf numFmtId="0" fontId="35" fillId="8" borderId="18" xfId="0" applyFont="1" applyFill="1" applyBorder="1" applyAlignment="1">
      <alignment vertical="center" wrapText="1"/>
    </xf>
    <xf numFmtId="0" fontId="36" fillId="10" borderId="6" xfId="0" applyFont="1" applyFill="1" applyBorder="1" applyAlignment="1">
      <alignment horizontal="center" vertical="center"/>
    </xf>
    <xf numFmtId="0" fontId="36" fillId="10" borderId="3" xfId="0" applyFont="1" applyFill="1" applyBorder="1" applyAlignment="1">
      <alignment horizontal="center" vertical="center"/>
    </xf>
    <xf numFmtId="0" fontId="36" fillId="10" borderId="3" xfId="0" applyFont="1" applyFill="1" applyBorder="1" applyAlignment="1">
      <alignment horizontal="center" vertical="center" wrapText="1"/>
    </xf>
    <xf numFmtId="0" fontId="37" fillId="10" borderId="3" xfId="0" applyFont="1" applyFill="1" applyBorder="1" applyAlignment="1">
      <alignment horizontal="center" vertical="center" wrapText="1"/>
    </xf>
    <xf numFmtId="0" fontId="123" fillId="0" borderId="18" xfId="0" applyFont="1" applyBorder="1" applyAlignment="1">
      <alignment vertical="center" wrapText="1"/>
    </xf>
    <xf numFmtId="0" fontId="30" fillId="0" borderId="18" xfId="0" applyFont="1" applyBorder="1" applyAlignment="1">
      <alignment vertical="center" wrapText="1"/>
    </xf>
    <xf numFmtId="0" fontId="30" fillId="2" borderId="18" xfId="0" applyFont="1" applyFill="1" applyBorder="1" applyAlignment="1">
      <alignment horizontal="left" vertical="center"/>
    </xf>
    <xf numFmtId="6" fontId="16" fillId="6" borderId="19" xfId="0" applyNumberFormat="1" applyFont="1" applyFill="1" applyBorder="1" applyAlignment="1">
      <alignment vertical="center" wrapText="1"/>
    </xf>
    <xf numFmtId="6" fontId="16" fillId="6" borderId="27" xfId="0" applyNumberFormat="1" applyFont="1" applyFill="1" applyBorder="1" applyAlignment="1">
      <alignment vertical="center" wrapText="1"/>
    </xf>
    <xf numFmtId="6" fontId="16" fillId="5" borderId="12" xfId="0" applyNumberFormat="1" applyFont="1" applyFill="1" applyBorder="1" applyAlignment="1">
      <alignment vertical="center" wrapText="1"/>
    </xf>
    <xf numFmtId="6" fontId="16" fillId="5" borderId="26" xfId="0" applyNumberFormat="1" applyFont="1" applyFill="1" applyBorder="1" applyAlignment="1">
      <alignment vertical="center" wrapText="1"/>
    </xf>
    <xf numFmtId="164" fontId="11" fillId="5" borderId="12" xfId="1" applyNumberFormat="1" applyFont="1" applyFill="1" applyBorder="1" applyAlignment="1">
      <alignment horizontal="center" vertical="center"/>
    </xf>
    <xf numFmtId="164" fontId="11" fillId="5" borderId="57" xfId="1" applyNumberFormat="1" applyFont="1" applyFill="1" applyBorder="1" applyAlignment="1">
      <alignment horizontal="center" vertical="center"/>
    </xf>
    <xf numFmtId="0" fontId="6" fillId="10" borderId="80" xfId="0" applyFont="1" applyFill="1" applyBorder="1" applyAlignment="1">
      <alignment vertical="center"/>
    </xf>
    <xf numFmtId="0" fontId="6" fillId="10" borderId="34" xfId="0" applyFont="1" applyFill="1" applyBorder="1" applyAlignment="1">
      <alignment vertical="center"/>
    </xf>
    <xf numFmtId="0" fontId="12" fillId="10" borderId="20" xfId="0" applyFont="1" applyFill="1" applyBorder="1" applyAlignment="1">
      <alignment vertical="center"/>
    </xf>
    <xf numFmtId="0" fontId="12" fillId="10" borderId="20" xfId="0" applyFont="1" applyFill="1" applyBorder="1" applyAlignment="1">
      <alignment horizontal="center" vertical="center" wrapText="1"/>
    </xf>
    <xf numFmtId="0" fontId="6" fillId="10" borderId="63" xfId="0" applyFont="1" applyFill="1" applyBorder="1" applyAlignment="1">
      <alignment horizontal="center" vertical="center" wrapText="1"/>
    </xf>
    <xf numFmtId="42" fontId="39" fillId="10" borderId="63" xfId="0" applyNumberFormat="1" applyFont="1" applyFill="1" applyBorder="1" applyAlignment="1">
      <alignment horizontal="center" vertical="center" wrapText="1"/>
    </xf>
    <xf numFmtId="0" fontId="6" fillId="10" borderId="35" xfId="0" applyFont="1" applyFill="1" applyBorder="1" applyAlignment="1">
      <alignment horizontal="center" vertical="center" wrapText="1"/>
    </xf>
    <xf numFmtId="0" fontId="11" fillId="2" borderId="19" xfId="0" applyFont="1" applyFill="1" applyBorder="1" applyAlignment="1">
      <alignment vertical="center"/>
    </xf>
    <xf numFmtId="164" fontId="11" fillId="6" borderId="19" xfId="1" applyNumberFormat="1" applyFont="1" applyFill="1" applyBorder="1" applyAlignment="1">
      <alignment horizontal="center" vertical="center"/>
    </xf>
    <xf numFmtId="164" fontId="28" fillId="6" borderId="73" xfId="1" applyNumberFormat="1" applyFont="1" applyFill="1" applyBorder="1" applyAlignment="1">
      <alignment horizontal="center" vertical="center"/>
    </xf>
    <xf numFmtId="164" fontId="28" fillId="5" borderId="19" xfId="1" applyNumberFormat="1" applyFont="1" applyFill="1" applyBorder="1" applyAlignment="1">
      <alignment horizontal="center" vertical="center"/>
    </xf>
    <xf numFmtId="164" fontId="11" fillId="5" borderId="19" xfId="1" applyNumberFormat="1" applyFont="1" applyFill="1" applyBorder="1" applyAlignment="1">
      <alignment horizontal="center" vertical="center"/>
    </xf>
    <xf numFmtId="164" fontId="28" fillId="5" borderId="73" xfId="1" applyNumberFormat="1" applyFont="1" applyFill="1" applyBorder="1" applyAlignment="1">
      <alignment horizontal="center" vertical="center"/>
    </xf>
    <xf numFmtId="0" fontId="4" fillId="10" borderId="44" xfId="0" applyFont="1" applyFill="1" applyBorder="1" applyAlignment="1">
      <alignment vertical="center"/>
    </xf>
    <xf numFmtId="0" fontId="4" fillId="10" borderId="43" xfId="0" applyFont="1" applyFill="1" applyBorder="1" applyAlignment="1">
      <alignment vertical="center"/>
    </xf>
    <xf numFmtId="0" fontId="4" fillId="10" borderId="2" xfId="0" applyFont="1" applyFill="1" applyBorder="1" applyAlignment="1">
      <alignment vertical="center"/>
    </xf>
    <xf numFmtId="0" fontId="4" fillId="10" borderId="3" xfId="0" applyFont="1" applyFill="1" applyBorder="1" applyAlignment="1">
      <alignment vertical="center"/>
    </xf>
    <xf numFmtId="0" fontId="9" fillId="10" borderId="35" xfId="0" applyFont="1" applyFill="1" applyBorder="1" applyAlignment="1">
      <alignment horizontal="center" vertical="center" wrapText="1"/>
    </xf>
    <xf numFmtId="0" fontId="6" fillId="10" borderId="80" xfId="0" applyFont="1" applyFill="1" applyBorder="1" applyAlignment="1">
      <alignment horizontal="center" vertical="center" wrapText="1"/>
    </xf>
    <xf numFmtId="0" fontId="10" fillId="10" borderId="80" xfId="0" applyFont="1" applyFill="1" applyBorder="1" applyAlignment="1">
      <alignment horizontal="center" vertical="center" wrapText="1"/>
    </xf>
    <xf numFmtId="0" fontId="10" fillId="10" borderId="63" xfId="0" applyFont="1" applyFill="1" applyBorder="1" applyAlignment="1">
      <alignment horizontal="center" vertical="center" wrapText="1"/>
    </xf>
    <xf numFmtId="0" fontId="85" fillId="10" borderId="8" xfId="0" applyFont="1" applyFill="1" applyBorder="1" applyAlignment="1">
      <alignment horizontal="center" vertical="center" wrapText="1"/>
    </xf>
    <xf numFmtId="0" fontId="85" fillId="10" borderId="43" xfId="0" applyFont="1" applyFill="1" applyBorder="1" applyAlignment="1">
      <alignment horizontal="center" vertical="center" wrapText="1"/>
    </xf>
    <xf numFmtId="164" fontId="84" fillId="5" borderId="74" xfId="0" applyNumberFormat="1" applyFont="1" applyFill="1" applyBorder="1" applyAlignment="1">
      <alignment horizontal="center" vertical="center"/>
    </xf>
    <xf numFmtId="164" fontId="84" fillId="5" borderId="4" xfId="0" applyNumberFormat="1" applyFont="1" applyFill="1" applyBorder="1" applyAlignment="1">
      <alignment horizontal="center" vertical="center"/>
    </xf>
    <xf numFmtId="164" fontId="84" fillId="5" borderId="64" xfId="0" applyNumberFormat="1" applyFont="1" applyFill="1" applyBorder="1" applyAlignment="1">
      <alignment horizontal="center" vertical="center"/>
    </xf>
    <xf numFmtId="164" fontId="84" fillId="5" borderId="17" xfId="0" applyNumberFormat="1" applyFont="1" applyFill="1" applyBorder="1" applyAlignment="1">
      <alignment horizontal="center" vertical="center"/>
    </xf>
    <xf numFmtId="164" fontId="84" fillId="5" borderId="25" xfId="0" applyNumberFormat="1" applyFont="1" applyFill="1" applyBorder="1" applyAlignment="1">
      <alignment horizontal="center" vertical="center"/>
    </xf>
    <xf numFmtId="0" fontId="7" fillId="2" borderId="8" xfId="0" applyFont="1" applyFill="1" applyBorder="1" applyAlignment="1">
      <alignment horizontal="center" vertical="center" wrapText="1"/>
    </xf>
    <xf numFmtId="0" fontId="16" fillId="10" borderId="64" xfId="0" applyFont="1" applyFill="1" applyBorder="1" applyAlignment="1">
      <alignment horizontal="center" wrapText="1"/>
    </xf>
    <xf numFmtId="0" fontId="16" fillId="10" borderId="75" xfId="0" applyFont="1" applyFill="1" applyBorder="1" applyAlignment="1">
      <alignment horizontal="center" wrapText="1"/>
    </xf>
    <xf numFmtId="0" fontId="16" fillId="10" borderId="66" xfId="0" applyFont="1" applyFill="1" applyBorder="1" applyAlignment="1">
      <alignment horizontal="center" wrapText="1"/>
    </xf>
    <xf numFmtId="0" fontId="1" fillId="2" borderId="50" xfId="3" applyFont="1" applyFill="1" applyBorder="1" applyAlignment="1">
      <alignment horizontal="center" vertical="center" wrapText="1"/>
    </xf>
    <xf numFmtId="0" fontId="1" fillId="2" borderId="18" xfId="3" applyFont="1" applyFill="1" applyBorder="1" applyAlignment="1">
      <alignment horizontal="center" vertical="center" wrapText="1"/>
    </xf>
    <xf numFmtId="0" fontId="1" fillId="2" borderId="26" xfId="3" applyFont="1" applyFill="1" applyBorder="1" applyAlignment="1">
      <alignment horizontal="center" vertical="center" wrapText="1"/>
    </xf>
    <xf numFmtId="1" fontId="58" fillId="2" borderId="12" xfId="0" applyNumberFormat="1" applyFont="1" applyFill="1" applyBorder="1" applyAlignment="1">
      <alignment vertical="center"/>
    </xf>
    <xf numFmtId="1" fontId="58" fillId="2" borderId="18" xfId="0" applyNumberFormat="1" applyFont="1" applyFill="1" applyBorder="1" applyAlignment="1">
      <alignment vertical="center"/>
    </xf>
    <xf numFmtId="165" fontId="58" fillId="5" borderId="18" xfId="1" applyNumberFormat="1" applyFont="1" applyFill="1" applyBorder="1" applyAlignment="1">
      <alignment vertical="center" wrapText="1"/>
    </xf>
    <xf numFmtId="0" fontId="58" fillId="2" borderId="12" xfId="0" applyFont="1" applyFill="1" applyBorder="1" applyAlignment="1">
      <alignment horizontal="left" vertical="center"/>
    </xf>
    <xf numFmtId="0" fontId="58" fillId="2" borderId="18" xfId="0" applyFont="1" applyFill="1" applyBorder="1" applyAlignment="1">
      <alignment horizontal="left" vertical="center"/>
    </xf>
    <xf numFmtId="167" fontId="97" fillId="6" borderId="50" xfId="0" applyNumberFormat="1" applyFont="1" applyFill="1" applyBorder="1" applyAlignment="1">
      <alignment horizontal="center" vertical="top" shrinkToFit="1"/>
    </xf>
    <xf numFmtId="167" fontId="97" fillId="6" borderId="26" xfId="0" applyNumberFormat="1" applyFont="1" applyFill="1" applyBorder="1" applyAlignment="1">
      <alignment horizontal="center" vertical="top" shrinkToFit="1"/>
    </xf>
    <xf numFmtId="167" fontId="97" fillId="6" borderId="51" xfId="0" applyNumberFormat="1" applyFont="1" applyFill="1" applyBorder="1" applyAlignment="1">
      <alignment horizontal="center" vertical="top" shrinkToFit="1"/>
    </xf>
    <xf numFmtId="167" fontId="96" fillId="6" borderId="26" xfId="0" applyNumberFormat="1" applyFont="1" applyFill="1" applyBorder="1" applyAlignment="1">
      <alignment horizontal="center" vertical="top" shrinkToFit="1"/>
    </xf>
    <xf numFmtId="167" fontId="97" fillId="5" borderId="50" xfId="0" applyNumberFormat="1" applyFont="1" applyFill="1" applyBorder="1" applyAlignment="1">
      <alignment horizontal="center" vertical="top" shrinkToFit="1"/>
    </xf>
    <xf numFmtId="167" fontId="97" fillId="5" borderId="57" xfId="0" applyNumberFormat="1" applyFont="1" applyFill="1" applyBorder="1" applyAlignment="1">
      <alignment horizontal="center" vertical="top" shrinkToFit="1"/>
    </xf>
    <xf numFmtId="167" fontId="96" fillId="5" borderId="26" xfId="0" applyNumberFormat="1" applyFont="1" applyFill="1" applyBorder="1" applyAlignment="1">
      <alignment horizontal="center" vertical="top" shrinkToFit="1"/>
    </xf>
    <xf numFmtId="167" fontId="97" fillId="5" borderId="26" xfId="0" applyNumberFormat="1" applyFont="1" applyFill="1" applyBorder="1" applyAlignment="1">
      <alignment horizontal="center" vertical="top" shrinkToFit="1"/>
    </xf>
    <xf numFmtId="0" fontId="89" fillId="10" borderId="84" xfId="0" applyFont="1" applyFill="1" applyBorder="1" applyAlignment="1">
      <alignment horizontal="left" vertical="center" wrapText="1" indent="5"/>
    </xf>
    <xf numFmtId="0" fontId="89" fillId="10" borderId="84" xfId="0" applyFont="1" applyFill="1" applyBorder="1" applyAlignment="1">
      <alignment horizontal="center" vertical="center" wrapText="1"/>
    </xf>
    <xf numFmtId="0" fontId="89" fillId="10" borderId="84" xfId="0" applyFont="1" applyFill="1" applyBorder="1" applyAlignment="1">
      <alignment horizontal="left" vertical="top" wrapText="1" indent="1"/>
    </xf>
    <xf numFmtId="0" fontId="89" fillId="10" borderId="84" xfId="0" applyFont="1" applyFill="1" applyBorder="1" applyAlignment="1">
      <alignment horizontal="left" vertical="center" wrapText="1" indent="1"/>
    </xf>
    <xf numFmtId="0" fontId="6" fillId="10" borderId="25" xfId="0" applyFont="1" applyFill="1" applyBorder="1" applyAlignment="1">
      <alignment horizontal="center" vertical="center" wrapText="1"/>
    </xf>
    <xf numFmtId="0" fontId="6" fillId="10" borderId="26" xfId="0" applyFont="1" applyFill="1" applyBorder="1" applyAlignment="1">
      <alignment horizontal="center" vertical="center"/>
    </xf>
    <xf numFmtId="0" fontId="6" fillId="10" borderId="48" xfId="0" applyFont="1" applyFill="1" applyBorder="1" applyAlignment="1">
      <alignment horizontal="center" vertical="center"/>
    </xf>
    <xf numFmtId="0" fontId="6" fillId="10" borderId="26" xfId="0" applyFont="1" applyFill="1" applyBorder="1" applyAlignment="1">
      <alignment horizontal="center" vertical="center" wrapText="1"/>
    </xf>
    <xf numFmtId="0" fontId="6" fillId="10" borderId="48" xfId="0" applyFont="1" applyFill="1" applyBorder="1" applyAlignment="1">
      <alignment horizontal="center" vertical="center" wrapText="1"/>
    </xf>
    <xf numFmtId="0" fontId="16" fillId="10" borderId="8" xfId="0" applyFont="1" applyFill="1" applyBorder="1" applyAlignment="1">
      <alignment horizontal="center" vertical="center" wrapText="1"/>
    </xf>
    <xf numFmtId="0" fontId="16" fillId="10" borderId="74" xfId="0" applyFont="1" applyFill="1" applyBorder="1" applyAlignment="1">
      <alignment horizontal="center" wrapText="1"/>
    </xf>
    <xf numFmtId="0" fontId="16" fillId="10" borderId="18" xfId="0" applyFont="1" applyFill="1" applyBorder="1" applyAlignment="1">
      <alignment horizontal="left"/>
    </xf>
    <xf numFmtId="0" fontId="16" fillId="10" borderId="18" xfId="0" applyFont="1" applyFill="1" applyBorder="1" applyAlignment="1">
      <alignment horizontal="center"/>
    </xf>
    <xf numFmtId="0" fontId="6" fillId="10" borderId="18" xfId="0" applyFont="1" applyFill="1" applyBorder="1" applyAlignment="1">
      <alignment horizontal="center"/>
    </xf>
    <xf numFmtId="0" fontId="6" fillId="10" borderId="18" xfId="0" applyFont="1" applyFill="1" applyBorder="1"/>
    <xf numFmtId="0" fontId="16" fillId="10" borderId="49" xfId="0" applyFont="1" applyFill="1" applyBorder="1"/>
    <xf numFmtId="0" fontId="16" fillId="10" borderId="50" xfId="0" applyFont="1" applyFill="1" applyBorder="1"/>
    <xf numFmtId="0" fontId="4" fillId="10" borderId="50" xfId="0" applyFont="1" applyFill="1" applyBorder="1"/>
    <xf numFmtId="0" fontId="0" fillId="10" borderId="53" xfId="0" applyFill="1" applyBorder="1"/>
    <xf numFmtId="0" fontId="93" fillId="10" borderId="80" xfId="0" applyFont="1" applyFill="1" applyBorder="1" applyAlignment="1">
      <alignment vertical="center"/>
    </xf>
    <xf numFmtId="0" fontId="93" fillId="10" borderId="34" xfId="0" applyFont="1" applyFill="1" applyBorder="1" applyAlignment="1">
      <alignment horizontal="center" vertical="center"/>
    </xf>
    <xf numFmtId="1" fontId="16" fillId="10" borderId="34" xfId="0" applyNumberFormat="1" applyFont="1" applyFill="1" applyBorder="1" applyAlignment="1">
      <alignment horizontal="center" vertical="center"/>
    </xf>
    <xf numFmtId="0" fontId="16" fillId="10" borderId="34" xfId="0" applyFont="1" applyFill="1" applyBorder="1" applyAlignment="1">
      <alignment horizontal="center" vertical="center" wrapText="1"/>
    </xf>
    <xf numFmtId="0" fontId="16" fillId="10" borderId="34" xfId="0" applyFont="1" applyFill="1" applyBorder="1" applyAlignment="1">
      <alignment horizontal="center" vertical="center"/>
    </xf>
    <xf numFmtId="0" fontId="16" fillId="10" borderId="35" xfId="0" applyFont="1" applyFill="1" applyBorder="1" applyAlignment="1">
      <alignment horizontal="center" vertical="center" wrapText="1"/>
    </xf>
    <xf numFmtId="0" fontId="6" fillId="10" borderId="80" xfId="0" applyFont="1" applyFill="1" applyBorder="1" applyAlignment="1">
      <alignment horizontal="center" vertical="center"/>
    </xf>
    <xf numFmtId="0" fontId="6" fillId="10" borderId="80" xfId="0" applyFont="1" applyFill="1" applyBorder="1" applyAlignment="1">
      <alignment horizontal="left" vertical="center"/>
    </xf>
    <xf numFmtId="0" fontId="9" fillId="10" borderId="34" xfId="0" applyFont="1" applyFill="1" applyBorder="1" applyAlignment="1">
      <alignment horizontal="center" vertical="center"/>
    </xf>
    <xf numFmtId="0" fontId="10" fillId="10" borderId="34" xfId="0" applyFont="1" applyFill="1" applyBorder="1" applyAlignment="1">
      <alignment horizontal="center" vertical="center" wrapText="1"/>
    </xf>
    <xf numFmtId="0" fontId="6" fillId="10" borderId="34" xfId="0" applyFont="1" applyFill="1" applyBorder="1" applyAlignment="1">
      <alignment horizontal="center" vertical="center"/>
    </xf>
    <xf numFmtId="0" fontId="99" fillId="10" borderId="63" xfId="4" applyFont="1" applyFill="1" applyBorder="1" applyAlignment="1">
      <alignment horizontal="center" vertical="center" wrapText="1"/>
    </xf>
    <xf numFmtId="0" fontId="89" fillId="10" borderId="8" xfId="0" applyFont="1" applyFill="1" applyBorder="1" applyAlignment="1">
      <alignment horizontal="center" vertical="center" wrapText="1"/>
    </xf>
    <xf numFmtId="164" fontId="58" fillId="5" borderId="18" xfId="0" applyNumberFormat="1" applyFont="1" applyFill="1" applyBorder="1" applyAlignment="1">
      <alignment horizontal="center" vertical="center"/>
    </xf>
    <xf numFmtId="164" fontId="58" fillId="5" borderId="26" xfId="0" applyNumberFormat="1" applyFont="1" applyFill="1" applyBorder="1" applyAlignment="1">
      <alignment horizontal="center" vertical="center"/>
    </xf>
    <xf numFmtId="164" fontId="58" fillId="6" borderId="18" xfId="0" applyNumberFormat="1" applyFont="1" applyFill="1" applyBorder="1" applyAlignment="1">
      <alignment horizontal="center" vertical="center"/>
    </xf>
    <xf numFmtId="164" fontId="58" fillId="6" borderId="26" xfId="0" applyNumberFormat="1" applyFont="1" applyFill="1" applyBorder="1" applyAlignment="1">
      <alignment horizontal="center" vertical="center"/>
    </xf>
    <xf numFmtId="164" fontId="28" fillId="6" borderId="13" xfId="1" applyNumberFormat="1" applyFont="1" applyFill="1" applyBorder="1" applyAlignment="1">
      <alignment horizontal="center" vertical="center"/>
    </xf>
    <xf numFmtId="164" fontId="28" fillId="6" borderId="29" xfId="0" applyNumberFormat="1" applyFont="1" applyFill="1" applyBorder="1" applyAlignment="1">
      <alignment horizontal="center" vertical="center"/>
    </xf>
    <xf numFmtId="164" fontId="28" fillId="5" borderId="50" xfId="1" applyNumberFormat="1" applyFont="1" applyFill="1" applyBorder="1" applyAlignment="1">
      <alignment horizontal="center" vertical="center"/>
    </xf>
    <xf numFmtId="164" fontId="28" fillId="5" borderId="26" xfId="1" applyNumberFormat="1" applyFont="1" applyFill="1" applyBorder="1" applyAlignment="1">
      <alignment horizontal="center" vertical="center"/>
    </xf>
    <xf numFmtId="165" fontId="4" fillId="5" borderId="12" xfId="1" applyNumberFormat="1" applyFont="1" applyFill="1" applyBorder="1" applyAlignment="1">
      <alignment vertical="center"/>
    </xf>
    <xf numFmtId="165" fontId="58" fillId="5" borderId="50" xfId="1" applyNumberFormat="1" applyFont="1" applyFill="1" applyBorder="1" applyAlignment="1">
      <alignment vertical="center"/>
    </xf>
    <xf numFmtId="0" fontId="39" fillId="10" borderId="25" xfId="0" applyFont="1" applyFill="1" applyBorder="1" applyAlignment="1">
      <alignment horizontal="center" wrapText="1"/>
    </xf>
    <xf numFmtId="0" fontId="39" fillId="10" borderId="48" xfId="0" applyFont="1" applyFill="1" applyBorder="1" applyAlignment="1">
      <alignment horizontal="center" vertical="center" wrapText="1"/>
    </xf>
    <xf numFmtId="0" fontId="39" fillId="10" borderId="27" xfId="0" applyFont="1" applyFill="1" applyBorder="1" applyAlignment="1">
      <alignment horizontal="center" vertical="center" wrapText="1"/>
    </xf>
    <xf numFmtId="0" fontId="53" fillId="10" borderId="80" xfId="0" applyFont="1" applyFill="1" applyBorder="1" applyAlignment="1">
      <alignment horizontal="center"/>
    </xf>
    <xf numFmtId="0" fontId="11" fillId="10" borderId="44" xfId="0" applyFont="1" applyFill="1" applyBorder="1"/>
    <xf numFmtId="0" fontId="6" fillId="10" borderId="34" xfId="0" applyFont="1" applyFill="1" applyBorder="1" applyAlignment="1">
      <alignment wrapText="1"/>
    </xf>
    <xf numFmtId="0" fontId="6" fillId="10" borderId="43" xfId="0" applyFont="1" applyFill="1" applyBorder="1" applyAlignment="1">
      <alignment horizontal="center" vertical="center" wrapText="1"/>
    </xf>
    <xf numFmtId="164" fontId="4" fillId="2" borderId="19" xfId="0" applyNumberFormat="1" applyFont="1" applyFill="1" applyBorder="1" applyAlignment="1">
      <alignment horizontal="center" vertical="center"/>
    </xf>
    <xf numFmtId="164" fontId="4" fillId="2" borderId="46" xfId="0" applyNumberFormat="1" applyFont="1" applyFill="1" applyBorder="1" applyAlignment="1">
      <alignment horizontal="center" vertical="center"/>
    </xf>
    <xf numFmtId="164" fontId="4" fillId="2" borderId="20" xfId="0" applyNumberFormat="1" applyFont="1" applyFill="1" applyBorder="1" applyAlignment="1">
      <alignment horizontal="center" vertical="center"/>
    </xf>
    <xf numFmtId="164" fontId="4" fillId="2" borderId="47" xfId="0" applyNumberFormat="1" applyFont="1" applyFill="1" applyBorder="1" applyAlignment="1">
      <alignment horizontal="center" vertical="center"/>
    </xf>
    <xf numFmtId="164" fontId="4" fillId="2" borderId="18" xfId="0" applyNumberFormat="1" applyFont="1" applyFill="1" applyBorder="1" applyAlignment="1">
      <alignment horizontal="center" vertical="center"/>
    </xf>
    <xf numFmtId="164" fontId="4" fillId="2" borderId="26" xfId="0" applyNumberFormat="1" applyFont="1" applyFill="1" applyBorder="1" applyAlignment="1">
      <alignment horizontal="center" vertical="center"/>
    </xf>
    <xf numFmtId="164" fontId="4" fillId="2" borderId="48" xfId="0" applyNumberFormat="1" applyFont="1" applyFill="1" applyBorder="1" applyAlignment="1">
      <alignment horizontal="center" vertical="center"/>
    </xf>
    <xf numFmtId="164" fontId="84" fillId="2" borderId="19" xfId="0" applyNumberFormat="1" applyFont="1" applyFill="1" applyBorder="1" applyAlignment="1">
      <alignment horizontal="center" vertical="center"/>
    </xf>
    <xf numFmtId="164" fontId="84" fillId="2" borderId="18" xfId="0" applyNumberFormat="1" applyFont="1" applyFill="1" applyBorder="1" applyAlignment="1">
      <alignment horizontal="center" vertical="center"/>
    </xf>
    <xf numFmtId="164" fontId="84" fillId="2" borderId="20" xfId="0" applyNumberFormat="1" applyFont="1" applyFill="1" applyBorder="1" applyAlignment="1">
      <alignment horizontal="center" vertical="center"/>
    </xf>
    <xf numFmtId="164" fontId="84" fillId="2" borderId="26" xfId="0" applyNumberFormat="1" applyFont="1" applyFill="1" applyBorder="1" applyAlignment="1">
      <alignment horizontal="center" vertical="center"/>
    </xf>
    <xf numFmtId="164" fontId="84" fillId="2" borderId="27" xfId="0" applyNumberFormat="1" applyFont="1" applyFill="1" applyBorder="1" applyAlignment="1">
      <alignment horizontal="center" vertical="center"/>
    </xf>
    <xf numFmtId="0" fontId="6" fillId="10" borderId="34" xfId="0" applyFont="1" applyFill="1" applyBorder="1" applyAlignment="1">
      <alignment horizontal="center" vertical="center" wrapText="1"/>
    </xf>
    <xf numFmtId="164" fontId="28" fillId="6" borderId="27" xfId="1" applyNumberFormat="1" applyFont="1" applyFill="1" applyBorder="1" applyAlignment="1">
      <alignment horizontal="center" vertical="center"/>
    </xf>
    <xf numFmtId="0" fontId="47" fillId="6" borderId="42" xfId="0" applyFont="1" applyFill="1" applyBorder="1" applyAlignment="1">
      <alignment horizontal="center" vertical="center" wrapText="1"/>
    </xf>
    <xf numFmtId="0" fontId="47" fillId="2" borderId="42" xfId="0" applyFont="1" applyFill="1" applyBorder="1" applyAlignment="1">
      <alignment horizontal="center" vertical="center" wrapText="1"/>
    </xf>
    <xf numFmtId="0" fontId="47" fillId="2" borderId="42" xfId="0" applyFont="1" applyFill="1" applyBorder="1" applyAlignment="1">
      <alignment horizontal="left" vertical="center" wrapText="1"/>
    </xf>
    <xf numFmtId="0" fontId="47" fillId="2" borderId="5" xfId="0" applyFont="1" applyFill="1" applyBorder="1" applyAlignment="1">
      <alignment horizontal="center" vertical="center" wrapText="1"/>
    </xf>
    <xf numFmtId="0" fontId="47" fillId="2" borderId="3" xfId="0" applyFont="1" applyFill="1" applyBorder="1" applyAlignment="1">
      <alignment horizontal="center" vertical="center" wrapText="1"/>
    </xf>
    <xf numFmtId="0" fontId="33" fillId="2" borderId="42" xfId="0" applyFont="1" applyFill="1" applyBorder="1" applyAlignment="1">
      <alignment vertical="center" wrapText="1"/>
    </xf>
    <xf numFmtId="0" fontId="33" fillId="2" borderId="6" xfId="0" applyFont="1" applyFill="1" applyBorder="1" applyAlignment="1">
      <alignment vertical="center" wrapText="1"/>
    </xf>
    <xf numFmtId="0" fontId="33" fillId="2" borderId="9" xfId="0" applyFont="1" applyFill="1" applyBorder="1" applyAlignment="1">
      <alignment vertical="center" wrapText="1"/>
    </xf>
    <xf numFmtId="0" fontId="16" fillId="10" borderId="18" xfId="0" applyFont="1" applyFill="1" applyBorder="1" applyAlignment="1">
      <alignment wrapText="1"/>
    </xf>
    <xf numFmtId="165" fontId="28" fillId="5" borderId="20" xfId="1" applyNumberFormat="1" applyFont="1" applyFill="1" applyBorder="1" applyAlignment="1">
      <alignment vertical="center"/>
    </xf>
    <xf numFmtId="165" fontId="28" fillId="5" borderId="27" xfId="1" applyNumberFormat="1" applyFont="1" applyFill="1" applyBorder="1" applyAlignment="1">
      <alignment vertical="center"/>
    </xf>
    <xf numFmtId="165" fontId="28" fillId="6" borderId="20" xfId="1" applyNumberFormat="1" applyFont="1" applyFill="1" applyBorder="1" applyAlignment="1">
      <alignment vertical="center"/>
    </xf>
    <xf numFmtId="165" fontId="28" fillId="6" borderId="27" xfId="1" applyNumberFormat="1" applyFont="1" applyFill="1" applyBorder="1" applyAlignment="1">
      <alignment vertical="center"/>
    </xf>
    <xf numFmtId="0" fontId="28" fillId="4" borderId="47" xfId="0" applyFont="1" applyFill="1" applyBorder="1" applyAlignment="1">
      <alignment horizontal="center" vertical="center"/>
    </xf>
    <xf numFmtId="0" fontId="28" fillId="4" borderId="48" xfId="0" applyFont="1" applyFill="1" applyBorder="1" applyAlignment="1">
      <alignment horizontal="center" vertical="center"/>
    </xf>
    <xf numFmtId="0" fontId="11" fillId="10" borderId="11" xfId="0" applyFont="1" applyFill="1" applyBorder="1" applyAlignment="1">
      <alignment vertical="center"/>
    </xf>
    <xf numFmtId="0" fontId="10" fillId="10" borderId="12" xfId="0" applyFont="1" applyFill="1" applyBorder="1" applyAlignment="1">
      <alignment horizontal="center" vertical="center"/>
    </xf>
    <xf numFmtId="0" fontId="5" fillId="10" borderId="12" xfId="0" applyFont="1" applyFill="1" applyBorder="1" applyAlignment="1">
      <alignment horizontal="center" vertical="center" wrapText="1"/>
    </xf>
    <xf numFmtId="0" fontId="5" fillId="10" borderId="19" xfId="0" applyFont="1" applyFill="1" applyBorder="1" applyAlignment="1">
      <alignment horizontal="center" vertical="center" wrapText="1"/>
    </xf>
    <xf numFmtId="0" fontId="10" fillId="10" borderId="46" xfId="0" applyFont="1" applyFill="1" applyBorder="1" applyAlignment="1">
      <alignment horizontal="center" vertical="center"/>
    </xf>
    <xf numFmtId="0" fontId="10" fillId="10" borderId="39" xfId="0" applyFont="1" applyFill="1" applyBorder="1" applyAlignment="1">
      <alignment horizontal="center" vertical="center" wrapText="1"/>
    </xf>
    <xf numFmtId="0" fontId="9" fillId="10" borderId="80" xfId="0" applyFont="1" applyFill="1" applyBorder="1" applyAlignment="1">
      <alignment vertical="center"/>
    </xf>
    <xf numFmtId="0" fontId="9" fillId="10" borderId="34" xfId="0" applyFont="1" applyFill="1" applyBorder="1" applyAlignment="1">
      <alignment vertical="center"/>
    </xf>
    <xf numFmtId="0" fontId="9" fillId="10" borderId="34" xfId="0" applyFont="1" applyFill="1" applyBorder="1" applyAlignment="1">
      <alignment vertical="center" wrapText="1"/>
    </xf>
    <xf numFmtId="0" fontId="6" fillId="10" borderId="18" xfId="0" applyFont="1" applyFill="1" applyBorder="1" applyAlignment="1">
      <alignment horizontal="center" vertical="center" wrapText="1"/>
    </xf>
    <xf numFmtId="0" fontId="6" fillId="10" borderId="8" xfId="0" applyFont="1" applyFill="1" applyBorder="1" applyAlignment="1">
      <alignment horizontal="center" vertical="center"/>
    </xf>
    <xf numFmtId="0" fontId="12" fillId="2" borderId="53" xfId="0" applyFont="1" applyFill="1" applyBorder="1" applyAlignment="1">
      <alignment horizontal="center" vertical="center" wrapText="1"/>
    </xf>
    <xf numFmtId="0" fontId="12" fillId="2" borderId="47" xfId="0" applyFont="1" applyFill="1" applyBorder="1" applyAlignment="1">
      <alignment horizontal="center" vertical="center" wrapText="1"/>
    </xf>
    <xf numFmtId="0" fontId="12" fillId="2" borderId="47" xfId="0" applyFont="1" applyFill="1" applyBorder="1" applyAlignment="1">
      <alignment horizontal="center" vertical="center"/>
    </xf>
    <xf numFmtId="0" fontId="11" fillId="2" borderId="47" xfId="0" applyFont="1" applyFill="1" applyBorder="1" applyAlignment="1">
      <alignment horizontal="center" vertical="center" wrapText="1"/>
    </xf>
    <xf numFmtId="0" fontId="12" fillId="2" borderId="54" xfId="0" applyFont="1" applyFill="1" applyBorder="1" applyAlignment="1">
      <alignment horizontal="center" vertical="center"/>
    </xf>
    <xf numFmtId="0" fontId="12" fillId="2" borderId="46" xfId="0" applyFont="1" applyFill="1" applyBorder="1" applyAlignment="1">
      <alignment horizontal="center" vertical="center" wrapText="1"/>
    </xf>
    <xf numFmtId="0" fontId="12" fillId="2" borderId="54" xfId="0" applyFont="1" applyFill="1" applyBorder="1" applyAlignment="1">
      <alignment horizontal="center" vertical="center" wrapText="1"/>
    </xf>
    <xf numFmtId="0" fontId="12" fillId="2" borderId="46" xfId="0" applyFont="1" applyFill="1" applyBorder="1" applyAlignment="1">
      <alignment horizontal="center" vertical="center"/>
    </xf>
    <xf numFmtId="0" fontId="12" fillId="2" borderId="48" xfId="0" applyFont="1" applyFill="1" applyBorder="1" applyAlignment="1">
      <alignment horizontal="center" vertical="center"/>
    </xf>
    <xf numFmtId="0" fontId="39" fillId="10" borderId="5" xfId="0" applyFont="1" applyFill="1" applyBorder="1" applyAlignment="1">
      <alignment horizontal="center" vertical="center"/>
    </xf>
    <xf numFmtId="0" fontId="39" fillId="10" borderId="65" xfId="0" applyFont="1" applyFill="1" applyBorder="1" applyAlignment="1">
      <alignment wrapText="1"/>
    </xf>
    <xf numFmtId="0" fontId="39" fillId="10" borderId="76" xfId="0" applyFont="1" applyFill="1" applyBorder="1" applyAlignment="1">
      <alignment horizontal="center" vertical="center" wrapText="1"/>
    </xf>
    <xf numFmtId="0" fontId="16" fillId="10" borderId="42" xfId="0" applyFont="1" applyFill="1" applyBorder="1" applyAlignment="1">
      <alignment horizontal="center" vertical="center"/>
    </xf>
    <xf numFmtId="0" fontId="49" fillId="10" borderId="26" xfId="0" applyFont="1" applyFill="1" applyBorder="1" applyAlignment="1">
      <alignment horizontal="center" vertical="center" wrapText="1"/>
    </xf>
    <xf numFmtId="0" fontId="39" fillId="10" borderId="26" xfId="0" applyFont="1" applyFill="1" applyBorder="1" applyAlignment="1">
      <alignment horizontal="center" wrapText="1"/>
    </xf>
    <xf numFmtId="0" fontId="0" fillId="2" borderId="18" xfId="0" applyFill="1" applyBorder="1" applyAlignment="1">
      <alignment vertical="center" wrapText="1"/>
    </xf>
    <xf numFmtId="0" fontId="89" fillId="0" borderId="0" xfId="0" applyFont="1" applyAlignment="1">
      <alignment vertical="center" wrapText="1"/>
    </xf>
    <xf numFmtId="0" fontId="58" fillId="0" borderId="0" xfId="0" applyFont="1" applyAlignment="1">
      <alignment horizontal="center" vertical="center" wrapText="1"/>
    </xf>
    <xf numFmtId="1" fontId="58" fillId="0" borderId="0" xfId="0" applyNumberFormat="1" applyFont="1" applyAlignment="1">
      <alignment horizontal="center" vertical="center" wrapText="1"/>
    </xf>
    <xf numFmtId="0" fontId="58" fillId="0" borderId="0" xfId="0" applyFont="1" applyAlignment="1">
      <alignment horizontal="center" vertical="center"/>
    </xf>
    <xf numFmtId="1" fontId="58" fillId="2" borderId="0" xfId="0" applyNumberFormat="1" applyFont="1" applyFill="1" applyAlignment="1">
      <alignment vertical="center"/>
    </xf>
    <xf numFmtId="0" fontId="58" fillId="2" borderId="0" xfId="0" applyFont="1" applyFill="1" applyAlignment="1">
      <alignment horizontal="left" vertical="center"/>
    </xf>
    <xf numFmtId="165" fontId="58" fillId="2" borderId="0" xfId="1" applyNumberFormat="1" applyFont="1" applyFill="1" applyBorder="1" applyAlignment="1">
      <alignment vertical="center"/>
    </xf>
    <xf numFmtId="165" fontId="4" fillId="2" borderId="0" xfId="1" applyNumberFormat="1" applyFont="1" applyFill="1" applyBorder="1" applyAlignment="1">
      <alignment vertical="center"/>
    </xf>
    <xf numFmtId="0" fontId="6" fillId="12" borderId="80" xfId="0" applyFont="1" applyFill="1" applyBorder="1" applyAlignment="1">
      <alignment horizontal="center" vertical="center" wrapText="1"/>
    </xf>
    <xf numFmtId="0" fontId="6" fillId="12" borderId="35" xfId="0" applyFont="1" applyFill="1" applyBorder="1" applyAlignment="1">
      <alignment horizontal="center" vertical="center" wrapText="1"/>
    </xf>
    <xf numFmtId="0" fontId="9" fillId="0" borderId="49" xfId="0" applyFont="1" applyBorder="1" applyAlignment="1">
      <alignment vertical="center" wrapText="1"/>
    </xf>
    <xf numFmtId="0" fontId="11" fillId="0" borderId="50" xfId="0" applyFont="1" applyBorder="1" applyAlignment="1">
      <alignment horizontal="left" vertical="center"/>
    </xf>
    <xf numFmtId="0" fontId="11" fillId="0" borderId="50" xfId="0" applyFont="1" applyBorder="1" applyAlignment="1">
      <alignment horizontal="center" vertical="center"/>
    </xf>
    <xf numFmtId="165" fontId="11" fillId="13" borderId="50" xfId="1" applyNumberFormat="1" applyFont="1" applyFill="1" applyBorder="1" applyAlignment="1">
      <alignment vertical="center"/>
    </xf>
    <xf numFmtId="165" fontId="11" fillId="5" borderId="13" xfId="1" applyNumberFormat="1" applyFont="1" applyFill="1" applyBorder="1" applyAlignment="1">
      <alignment vertical="center"/>
    </xf>
    <xf numFmtId="165" fontId="11" fillId="28" borderId="13" xfId="1" applyNumberFormat="1" applyFont="1" applyFill="1" applyBorder="1" applyAlignment="1">
      <alignment vertical="center"/>
    </xf>
    <xf numFmtId="165" fontId="11" fillId="6" borderId="13" xfId="1" applyNumberFormat="1" applyFont="1" applyFill="1" applyBorder="1" applyAlignment="1">
      <alignment vertical="center"/>
    </xf>
    <xf numFmtId="0" fontId="11" fillId="0" borderId="53" xfId="0" applyFont="1" applyBorder="1" applyAlignment="1">
      <alignment vertical="center"/>
    </xf>
    <xf numFmtId="165" fontId="11" fillId="13" borderId="18" xfId="1" applyNumberFormat="1" applyFont="1" applyFill="1" applyBorder="1" applyAlignment="1">
      <alignment vertical="center"/>
    </xf>
    <xf numFmtId="165" fontId="11" fillId="28" borderId="19" xfId="1" applyNumberFormat="1" applyFont="1" applyFill="1" applyBorder="1" applyAlignment="1">
      <alignment vertical="center"/>
    </xf>
    <xf numFmtId="0" fontId="11" fillId="0" borderId="47" xfId="0" applyFont="1" applyBorder="1" applyAlignment="1">
      <alignment vertical="center"/>
    </xf>
    <xf numFmtId="0" fontId="6" fillId="30" borderId="17" xfId="0" applyFont="1" applyFill="1" applyBorder="1" applyAlignment="1">
      <alignment horizontal="left" vertical="center"/>
    </xf>
    <xf numFmtId="0" fontId="4" fillId="30" borderId="18" xfId="0" applyFont="1" applyFill="1" applyBorder="1" applyAlignment="1">
      <alignment horizontal="center" vertical="center"/>
    </xf>
    <xf numFmtId="0" fontId="9" fillId="30" borderId="18" xfId="0" applyFont="1" applyFill="1" applyBorder="1" applyAlignment="1">
      <alignment horizontal="center" vertical="center"/>
    </xf>
    <xf numFmtId="0" fontId="11" fillId="30" borderId="18" xfId="0" applyFont="1" applyFill="1" applyBorder="1" applyAlignment="1">
      <alignment horizontal="center" vertical="center"/>
    </xf>
    <xf numFmtId="0" fontId="100" fillId="30" borderId="47" xfId="4" applyFont="1" applyFill="1" applyBorder="1" applyAlignment="1">
      <alignment horizontal="left" vertical="center" wrapText="1"/>
    </xf>
    <xf numFmtId="14" fontId="15" fillId="30" borderId="16" xfId="0" applyNumberFormat="1" applyFont="1" applyFill="1" applyBorder="1" applyAlignment="1">
      <alignment horizontal="center" vertical="center" wrapText="1"/>
    </xf>
    <xf numFmtId="0" fontId="129" fillId="0" borderId="18" xfId="0" applyFont="1" applyBorder="1" applyAlignment="1">
      <alignment horizontal="center" vertical="center" wrapText="1"/>
    </xf>
    <xf numFmtId="0" fontId="129" fillId="0" borderId="18" xfId="0" applyFont="1" applyBorder="1" applyAlignment="1">
      <alignment horizontal="center" vertical="center"/>
    </xf>
    <xf numFmtId="0" fontId="35" fillId="0" borderId="18" xfId="0" applyFont="1" applyBorder="1" applyAlignment="1">
      <alignment horizontal="center" vertical="center"/>
    </xf>
    <xf numFmtId="6" fontId="129" fillId="2" borderId="18" xfId="0" applyNumberFormat="1" applyFont="1" applyFill="1" applyBorder="1" applyAlignment="1">
      <alignment horizontal="center" vertical="center"/>
    </xf>
    <xf numFmtId="6" fontId="11" fillId="6" borderId="18" xfId="0" applyNumberFormat="1" applyFont="1" applyFill="1" applyBorder="1" applyAlignment="1">
      <alignment horizontal="center" vertical="center"/>
    </xf>
    <xf numFmtId="6" fontId="11" fillId="0" borderId="18" xfId="0" applyNumberFormat="1" applyFont="1" applyBorder="1" applyAlignment="1">
      <alignment horizontal="center" vertical="center"/>
    </xf>
    <xf numFmtId="0" fontId="5" fillId="31" borderId="18" xfId="0" applyFont="1" applyFill="1" applyBorder="1" applyAlignment="1">
      <alignment horizontal="center" vertical="center" wrapText="1"/>
    </xf>
    <xf numFmtId="0" fontId="46" fillId="0" borderId="18" xfId="0" applyFont="1" applyBorder="1" applyAlignment="1">
      <alignment vertical="center" wrapText="1"/>
    </xf>
    <xf numFmtId="14" fontId="15" fillId="0" borderId="18" xfId="0" applyNumberFormat="1" applyFont="1" applyBorder="1" applyAlignment="1">
      <alignment horizontal="center" vertical="center" wrapText="1"/>
    </xf>
    <xf numFmtId="6" fontId="11" fillId="5" borderId="18" xfId="0" applyNumberFormat="1" applyFont="1" applyFill="1" applyBorder="1" applyAlignment="1">
      <alignment horizontal="center" vertical="center"/>
    </xf>
    <xf numFmtId="0" fontId="129" fillId="0" borderId="31" xfId="0" applyFont="1" applyBorder="1" applyAlignment="1">
      <alignment vertical="center" wrapText="1"/>
    </xf>
    <xf numFmtId="0" fontId="4" fillId="0" borderId="47" xfId="0" applyFont="1" applyBorder="1" applyAlignment="1">
      <alignment vertical="center" wrapText="1"/>
    </xf>
    <xf numFmtId="0" fontId="16" fillId="4" borderId="3" xfId="0" applyFont="1" applyFill="1" applyBorder="1" applyAlignment="1">
      <alignment horizontal="center" vertical="center" wrapText="1"/>
    </xf>
    <xf numFmtId="164" fontId="11" fillId="0" borderId="18" xfId="1" applyNumberFormat="1" applyFont="1" applyFill="1" applyBorder="1" applyAlignment="1">
      <alignment horizontal="left" vertical="center" wrapText="1"/>
    </xf>
    <xf numFmtId="0" fontId="11" fillId="0" borderId="18" xfId="0" applyFont="1" applyBorder="1" applyAlignment="1">
      <alignment horizontal="left" vertical="center" wrapText="1"/>
    </xf>
    <xf numFmtId="164" fontId="17" fillId="2" borderId="20" xfId="1" applyNumberFormat="1" applyFont="1" applyFill="1" applyBorder="1" applyAlignment="1">
      <alignment horizontal="left" vertical="center" wrapText="1"/>
    </xf>
    <xf numFmtId="164" fontId="17" fillId="2" borderId="21" xfId="1" applyNumberFormat="1" applyFont="1" applyFill="1" applyBorder="1" applyAlignment="1">
      <alignment horizontal="left" vertical="center" wrapText="1"/>
    </xf>
    <xf numFmtId="164" fontId="17" fillId="2" borderId="31" xfId="1" applyNumberFormat="1" applyFont="1" applyFill="1" applyBorder="1" applyAlignment="1">
      <alignment horizontal="left" vertical="center" wrapText="1"/>
    </xf>
    <xf numFmtId="0" fontId="17" fillId="0" borderId="18" xfId="0" applyFont="1" applyBorder="1" applyAlignment="1">
      <alignment horizontal="left" vertical="center" wrapText="1"/>
    </xf>
    <xf numFmtId="0" fontId="10" fillId="10" borderId="33" xfId="0" applyFont="1" applyFill="1" applyBorder="1" applyAlignment="1">
      <alignment horizontal="center" vertical="center" wrapText="1"/>
    </xf>
    <xf numFmtId="0" fontId="10" fillId="10" borderId="24"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2" borderId="33" xfId="0" applyFont="1" applyFill="1" applyBorder="1" applyAlignment="1">
      <alignment horizontal="center" vertical="center"/>
    </xf>
    <xf numFmtId="0" fontId="10" fillId="12" borderId="24" xfId="0" applyFont="1" applyFill="1" applyBorder="1" applyAlignment="1">
      <alignment horizontal="center" vertical="center"/>
    </xf>
    <xf numFmtId="0" fontId="10" fillId="12" borderId="6" xfId="0" applyFont="1" applyFill="1" applyBorder="1" applyAlignment="1">
      <alignment horizontal="center" vertical="center"/>
    </xf>
    <xf numFmtId="0" fontId="10" fillId="12" borderId="9" xfId="0" applyFont="1" applyFill="1" applyBorder="1" applyAlignment="1">
      <alignment horizontal="center" vertical="center"/>
    </xf>
    <xf numFmtId="0" fontId="16" fillId="12" borderId="50" xfId="0" applyFont="1" applyFill="1" applyBorder="1" applyAlignment="1">
      <alignment horizontal="center" vertical="center" wrapText="1"/>
    </xf>
    <xf numFmtId="0" fontId="10" fillId="12" borderId="33" xfId="0" applyFont="1" applyFill="1" applyBorder="1" applyAlignment="1">
      <alignment horizontal="center" vertical="center" wrapText="1"/>
    </xf>
    <xf numFmtId="0" fontId="10" fillId="12" borderId="24" xfId="0" applyFont="1" applyFill="1" applyBorder="1" applyAlignment="1">
      <alignment horizontal="center" vertical="center" wrapText="1"/>
    </xf>
    <xf numFmtId="0" fontId="10" fillId="12" borderId="6" xfId="0" applyFont="1" applyFill="1" applyBorder="1" applyAlignment="1">
      <alignment horizontal="center" vertical="center" wrapText="1"/>
    </xf>
    <xf numFmtId="0" fontId="10" fillId="12" borderId="9" xfId="0" applyFont="1" applyFill="1" applyBorder="1" applyAlignment="1">
      <alignment horizontal="center" vertical="center" wrapText="1"/>
    </xf>
    <xf numFmtId="14" fontId="57" fillId="6" borderId="6" xfId="0" applyNumberFormat="1" applyFont="1" applyFill="1" applyBorder="1" applyAlignment="1">
      <alignment horizontal="center" vertical="center" wrapText="1"/>
    </xf>
    <xf numFmtId="0" fontId="57" fillId="6" borderId="9" xfId="0" applyFont="1" applyFill="1" applyBorder="1" applyAlignment="1">
      <alignment horizontal="center" vertical="center" wrapText="1"/>
    </xf>
    <xf numFmtId="0" fontId="4" fillId="13" borderId="20" xfId="0" applyFont="1" applyFill="1" applyBorder="1" applyAlignment="1">
      <alignment horizontal="center" vertical="center" wrapText="1"/>
    </xf>
    <xf numFmtId="0" fontId="4" fillId="13" borderId="31" xfId="0" applyFont="1" applyFill="1" applyBorder="1" applyAlignment="1">
      <alignment horizontal="center" vertical="center" wrapText="1"/>
    </xf>
    <xf numFmtId="0" fontId="4" fillId="0" borderId="56" xfId="0" applyFont="1" applyBorder="1" applyAlignment="1">
      <alignment horizontal="left" vertical="center" wrapText="1"/>
    </xf>
    <xf numFmtId="49" fontId="115" fillId="11" borderId="44" xfId="3" applyNumberFormat="1" applyFont="1" applyFill="1" applyBorder="1" applyAlignment="1">
      <alignment horizontal="center" vertical="center"/>
    </xf>
    <xf numFmtId="49" fontId="115" fillId="11" borderId="45" xfId="3" applyNumberFormat="1" applyFont="1" applyFill="1" applyBorder="1" applyAlignment="1">
      <alignment horizontal="center" vertical="center"/>
    </xf>
    <xf numFmtId="49" fontId="115" fillId="11" borderId="43" xfId="3" applyNumberFormat="1" applyFont="1" applyFill="1" applyBorder="1" applyAlignment="1">
      <alignment horizontal="center" vertical="center"/>
    </xf>
    <xf numFmtId="0" fontId="10" fillId="10" borderId="33" xfId="0" applyFont="1" applyFill="1" applyBorder="1" applyAlignment="1">
      <alignment horizontal="center" vertical="center"/>
    </xf>
    <xf numFmtId="0" fontId="10" fillId="10" borderId="24" xfId="0" applyFont="1" applyFill="1" applyBorder="1" applyAlignment="1">
      <alignment horizontal="center" vertical="center"/>
    </xf>
    <xf numFmtId="0" fontId="10" fillId="10" borderId="6" xfId="0" applyFont="1" applyFill="1" applyBorder="1" applyAlignment="1">
      <alignment horizontal="center" vertical="center"/>
    </xf>
    <xf numFmtId="0" fontId="10" fillId="10" borderId="9" xfId="0" applyFont="1" applyFill="1" applyBorder="1" applyAlignment="1">
      <alignment horizontal="center" vertical="center"/>
    </xf>
    <xf numFmtId="0" fontId="16" fillId="10" borderId="50" xfId="0" applyFont="1" applyFill="1" applyBorder="1" applyAlignment="1">
      <alignment horizontal="center" vertical="center" wrapText="1"/>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164" fontId="17" fillId="2" borderId="18" xfId="1" applyNumberFormat="1" applyFont="1" applyFill="1" applyBorder="1" applyAlignment="1">
      <alignment horizontal="left" vertical="center" wrapText="1"/>
    </xf>
    <xf numFmtId="164" fontId="11" fillId="0" borderId="20" xfId="1" applyNumberFormat="1" applyFont="1" applyFill="1" applyBorder="1" applyAlignment="1">
      <alignment horizontal="left" vertical="center" wrapText="1"/>
    </xf>
    <xf numFmtId="164" fontId="11" fillId="0" borderId="21" xfId="1" applyNumberFormat="1" applyFont="1" applyFill="1" applyBorder="1" applyAlignment="1">
      <alignment horizontal="left" vertical="center" wrapText="1"/>
    </xf>
    <xf numFmtId="164" fontId="11" fillId="0" borderId="31" xfId="1" applyNumberFormat="1" applyFont="1" applyFill="1" applyBorder="1" applyAlignment="1">
      <alignment horizontal="left" vertical="center" wrapText="1"/>
    </xf>
    <xf numFmtId="164" fontId="11" fillId="6" borderId="22" xfId="2" applyNumberFormat="1" applyFont="1" applyFill="1" applyBorder="1" applyAlignment="1">
      <alignment horizontal="center" vertical="center"/>
    </xf>
    <xf numFmtId="164" fontId="11" fillId="6" borderId="23" xfId="2" applyNumberFormat="1" applyFont="1" applyFill="1" applyBorder="1" applyAlignment="1">
      <alignment horizontal="center" vertical="center"/>
    </xf>
    <xf numFmtId="164" fontId="11" fillId="6" borderId="18" xfId="2" applyNumberFormat="1" applyFont="1" applyFill="1" applyBorder="1" applyAlignment="1">
      <alignment horizontal="center" vertical="center"/>
    </xf>
    <xf numFmtId="164" fontId="11" fillId="6" borderId="20" xfId="2" applyNumberFormat="1" applyFont="1" applyFill="1" applyBorder="1" applyAlignment="1">
      <alignment horizontal="center" vertical="center"/>
    </xf>
    <xf numFmtId="164" fontId="11" fillId="6" borderId="27" xfId="2" applyNumberFormat="1" applyFont="1" applyFill="1" applyBorder="1" applyAlignment="1">
      <alignment horizontal="center" vertical="center"/>
    </xf>
    <xf numFmtId="164" fontId="11" fillId="6" borderId="28" xfId="2" applyNumberFormat="1" applyFont="1" applyFill="1" applyBorder="1" applyAlignment="1">
      <alignment horizontal="center" vertical="center"/>
    </xf>
    <xf numFmtId="0" fontId="4" fillId="0" borderId="0" xfId="0" applyFont="1" applyAlignment="1">
      <alignment horizontal="center"/>
    </xf>
    <xf numFmtId="0" fontId="4" fillId="0" borderId="29" xfId="0" applyFont="1" applyBorder="1" applyAlignment="1">
      <alignment horizontal="center"/>
    </xf>
    <xf numFmtId="0" fontId="17" fillId="0" borderId="20" xfId="0" applyFont="1" applyBorder="1" applyAlignment="1">
      <alignment horizontal="left" vertical="center" wrapText="1"/>
    </xf>
    <xf numFmtId="0" fontId="17" fillId="0" borderId="21" xfId="0" applyFont="1" applyBorder="1" applyAlignment="1">
      <alignment horizontal="left" vertical="center" wrapText="1"/>
    </xf>
    <xf numFmtId="164" fontId="11" fillId="6" borderId="21" xfId="2" applyNumberFormat="1" applyFont="1" applyFill="1" applyBorder="1" applyAlignment="1">
      <alignment horizontal="center" vertical="center"/>
    </xf>
    <xf numFmtId="0" fontId="114" fillId="11" borderId="1" xfId="0" applyFont="1" applyFill="1" applyBorder="1" applyAlignment="1">
      <alignment horizontal="center" vertical="center" shrinkToFit="1"/>
    </xf>
    <xf numFmtId="0" fontId="114" fillId="11" borderId="2" xfId="0" applyFont="1" applyFill="1" applyBorder="1" applyAlignment="1">
      <alignment horizontal="center" vertical="center" shrinkToFit="1"/>
    </xf>
    <xf numFmtId="0" fontId="114" fillId="11" borderId="3" xfId="0" applyFont="1" applyFill="1" applyBorder="1" applyAlignment="1">
      <alignment horizontal="center" vertical="center" shrinkToFit="1"/>
    </xf>
    <xf numFmtId="0" fontId="6" fillId="10" borderId="6" xfId="0" applyFont="1" applyFill="1" applyBorder="1" applyAlignment="1">
      <alignment horizontal="center" vertical="center"/>
    </xf>
    <xf numFmtId="0" fontId="6" fillId="10" borderId="9" xfId="0" applyFont="1" applyFill="1" applyBorder="1" applyAlignment="1">
      <alignment horizontal="center" vertical="center"/>
    </xf>
    <xf numFmtId="0" fontId="6" fillId="10" borderId="7" xfId="0" applyFont="1" applyFill="1" applyBorder="1" applyAlignment="1">
      <alignment horizontal="center" vertical="center"/>
    </xf>
    <xf numFmtId="0" fontId="6" fillId="10" borderId="10" xfId="0" applyFont="1" applyFill="1" applyBorder="1" applyAlignment="1">
      <alignment horizontal="center" vertical="center"/>
    </xf>
    <xf numFmtId="0" fontId="6" fillId="10" borderId="8" xfId="0" applyFont="1" applyFill="1" applyBorder="1" applyAlignment="1">
      <alignment horizontal="center" vertical="center" wrapText="1"/>
    </xf>
    <xf numFmtId="164" fontId="6" fillId="10" borderId="8" xfId="0" applyNumberFormat="1" applyFont="1" applyFill="1" applyBorder="1" applyAlignment="1">
      <alignment horizontal="center" vertical="center" wrapText="1"/>
    </xf>
    <xf numFmtId="164" fontId="6" fillId="5" borderId="13" xfId="2" applyNumberFormat="1" applyFont="1" applyFill="1" applyBorder="1" applyAlignment="1">
      <alignment horizontal="center" vertical="center"/>
    </xf>
    <xf numFmtId="164" fontId="6" fillId="5" borderId="14" xfId="2" applyNumberFormat="1" applyFont="1" applyFill="1" applyBorder="1" applyAlignment="1">
      <alignment horizontal="center" vertical="center"/>
    </xf>
    <xf numFmtId="164" fontId="6" fillId="6" borderId="13" xfId="2" applyNumberFormat="1" applyFont="1" applyFill="1" applyBorder="1" applyAlignment="1">
      <alignment horizontal="center" vertical="center"/>
    </xf>
    <xf numFmtId="164" fontId="6" fillId="6" borderId="15" xfId="2" applyNumberFormat="1" applyFont="1" applyFill="1" applyBorder="1" applyAlignment="1">
      <alignment horizontal="center" vertical="center"/>
    </xf>
    <xf numFmtId="8" fontId="4" fillId="6" borderId="18" xfId="0" applyNumberFormat="1" applyFont="1" applyFill="1" applyBorder="1" applyAlignment="1">
      <alignment horizontal="center" vertical="center"/>
    </xf>
    <xf numFmtId="8" fontId="4" fillId="5" borderId="18" xfId="0" applyNumberFormat="1" applyFont="1" applyFill="1" applyBorder="1" applyAlignment="1">
      <alignment horizontal="center" vertical="center"/>
    </xf>
    <xf numFmtId="0" fontId="4" fillId="0" borderId="18" xfId="0" applyFont="1" applyBorder="1" applyAlignment="1">
      <alignment horizontal="center" vertical="center" wrapText="1"/>
    </xf>
    <xf numFmtId="0" fontId="4" fillId="0" borderId="18" xfId="0" applyFont="1" applyBorder="1" applyAlignment="1">
      <alignment horizontal="center" vertical="center"/>
    </xf>
    <xf numFmtId="0" fontId="7" fillId="0" borderId="18" xfId="0" applyFont="1" applyBorder="1" applyAlignment="1">
      <alignment horizontal="center" vertical="center" wrapText="1"/>
    </xf>
    <xf numFmtId="6" fontId="35" fillId="5" borderId="18" xfId="0" applyNumberFormat="1" applyFont="1" applyFill="1" applyBorder="1" applyAlignment="1">
      <alignment horizontal="center" vertical="center" wrapText="1"/>
    </xf>
    <xf numFmtId="0" fontId="35" fillId="8" borderId="18" xfId="0" applyFont="1" applyFill="1" applyBorder="1" applyAlignment="1">
      <alignment vertical="center" wrapText="1"/>
    </xf>
    <xf numFmtId="0" fontId="34" fillId="8" borderId="67" xfId="0" applyFont="1" applyFill="1" applyBorder="1" applyAlignment="1">
      <alignment horizontal="center" vertical="center" wrapText="1"/>
    </xf>
    <xf numFmtId="0" fontId="34" fillId="8" borderId="70" xfId="0" applyFont="1" applyFill="1" applyBorder="1" applyAlignment="1">
      <alignment horizontal="center" vertical="center" wrapText="1"/>
    </xf>
    <xf numFmtId="0" fontId="34" fillId="8" borderId="91" xfId="0" applyFont="1" applyFill="1" applyBorder="1" applyAlignment="1">
      <alignment horizontal="center" vertical="center" wrapText="1"/>
    </xf>
    <xf numFmtId="0" fontId="113" fillId="11" borderId="41" xfId="0" applyFont="1" applyFill="1" applyBorder="1" applyAlignment="1">
      <alignment horizontal="center" vertical="center"/>
    </xf>
    <xf numFmtId="0" fontId="113" fillId="11" borderId="29" xfId="0" applyFont="1" applyFill="1" applyBorder="1" applyAlignment="1">
      <alignment horizontal="center" vertical="center"/>
    </xf>
    <xf numFmtId="0" fontId="35" fillId="8" borderId="18" xfId="0" applyFont="1" applyFill="1" applyBorder="1" applyAlignment="1">
      <alignment horizontal="center" vertical="center" wrapText="1"/>
    </xf>
    <xf numFmtId="0" fontId="34" fillId="8" borderId="18" xfId="0" applyFont="1" applyFill="1" applyBorder="1" applyAlignment="1">
      <alignment vertical="center" wrapText="1"/>
    </xf>
    <xf numFmtId="6" fontId="35" fillId="6" borderId="18" xfId="0" applyNumberFormat="1" applyFont="1" applyFill="1" applyBorder="1" applyAlignment="1">
      <alignment horizontal="center" vertical="center" wrapText="1"/>
    </xf>
    <xf numFmtId="49" fontId="113" fillId="11" borderId="32" xfId="3" applyNumberFormat="1" applyFont="1" applyFill="1" applyBorder="1" applyAlignment="1">
      <alignment horizontal="center" vertical="center"/>
    </xf>
    <xf numFmtId="49" fontId="113" fillId="11" borderId="0" xfId="3" applyNumberFormat="1" applyFont="1" applyFill="1" applyBorder="1" applyAlignment="1">
      <alignment horizontal="center" vertical="center"/>
    </xf>
    <xf numFmtId="0" fontId="115" fillId="11" borderId="33" xfId="0" applyFont="1" applyFill="1" applyBorder="1" applyAlignment="1">
      <alignment horizontal="center" vertical="center" wrapText="1"/>
    </xf>
    <xf numFmtId="0" fontId="115" fillId="11" borderId="34" xfId="0" applyFont="1" applyFill="1" applyBorder="1" applyAlignment="1">
      <alignment horizontal="center" vertical="center" wrapText="1"/>
    </xf>
    <xf numFmtId="0" fontId="115" fillId="11" borderId="35" xfId="0" applyFont="1" applyFill="1" applyBorder="1" applyAlignment="1">
      <alignment horizontal="center" vertical="center" wrapText="1"/>
    </xf>
    <xf numFmtId="0" fontId="4" fillId="7" borderId="20" xfId="0" applyFont="1" applyFill="1" applyBorder="1" applyAlignment="1">
      <alignment horizontal="center" wrapText="1"/>
    </xf>
    <xf numFmtId="0" fontId="34" fillId="8" borderId="18" xfId="0" applyFont="1" applyFill="1" applyBorder="1" applyAlignment="1">
      <alignment horizontal="center" vertical="center" wrapText="1"/>
    </xf>
    <xf numFmtId="0" fontId="113" fillId="11" borderId="1" xfId="0" applyFont="1" applyFill="1" applyBorder="1" applyAlignment="1">
      <alignment horizontal="center" vertical="center"/>
    </xf>
    <xf numFmtId="0" fontId="113" fillId="11" borderId="2" xfId="0" applyFont="1" applyFill="1" applyBorder="1" applyAlignment="1">
      <alignment horizontal="center" vertical="center"/>
    </xf>
    <xf numFmtId="0" fontId="113" fillId="11" borderId="3" xfId="0" applyFont="1" applyFill="1" applyBorder="1" applyAlignment="1">
      <alignment horizontal="center" vertical="center"/>
    </xf>
    <xf numFmtId="164" fontId="41" fillId="0" borderId="54" xfId="0" applyNumberFormat="1" applyFont="1" applyBorder="1" applyAlignment="1">
      <alignment horizontal="center" vertical="center" wrapText="1"/>
    </xf>
    <xf numFmtId="164" fontId="41" fillId="0" borderId="55" xfId="0" applyNumberFormat="1" applyFont="1" applyBorder="1" applyAlignment="1">
      <alignment horizontal="center" vertical="center" wrapText="1"/>
    </xf>
    <xf numFmtId="0" fontId="4" fillId="6" borderId="0" xfId="0" applyFont="1" applyFill="1" applyAlignment="1">
      <alignment horizontal="left"/>
    </xf>
    <xf numFmtId="0" fontId="43" fillId="0" borderId="18" xfId="0" applyFont="1" applyBorder="1" applyAlignment="1">
      <alignment horizontal="left"/>
    </xf>
    <xf numFmtId="0" fontId="40" fillId="0" borderId="4" xfId="0" applyFont="1" applyBorder="1" applyAlignment="1">
      <alignment horizontal="center"/>
    </xf>
    <xf numFmtId="0" fontId="40" fillId="0" borderId="0" xfId="0" applyFont="1" applyAlignment="1">
      <alignment horizontal="center"/>
    </xf>
    <xf numFmtId="0" fontId="33" fillId="0" borderId="4" xfId="0" applyFont="1" applyBorder="1" applyAlignment="1">
      <alignment horizontal="left" wrapText="1"/>
    </xf>
    <xf numFmtId="0" fontId="33" fillId="0" borderId="0" xfId="0" applyFont="1" applyAlignment="1">
      <alignment horizontal="left" wrapText="1"/>
    </xf>
    <xf numFmtId="0" fontId="4" fillId="0" borderId="4" xfId="0" applyFont="1" applyBorder="1"/>
    <xf numFmtId="0" fontId="4" fillId="0" borderId="0" xfId="0" applyFont="1"/>
    <xf numFmtId="0" fontId="41" fillId="0" borderId="17" xfId="0" applyFont="1" applyBorder="1" applyAlignment="1">
      <alignment horizontal="center"/>
    </xf>
    <xf numFmtId="0" fontId="41" fillId="0" borderId="18" xfId="0" applyFont="1" applyBorder="1" applyAlignment="1">
      <alignment horizontal="center"/>
    </xf>
    <xf numFmtId="0" fontId="38" fillId="10" borderId="17" xfId="0" applyFont="1" applyFill="1" applyBorder="1" applyAlignment="1">
      <alignment horizontal="center" vertical="center"/>
    </xf>
    <xf numFmtId="0" fontId="38" fillId="10" borderId="18" xfId="0" applyFont="1" applyFill="1" applyBorder="1" applyAlignment="1">
      <alignment horizontal="center" vertical="center"/>
    </xf>
    <xf numFmtId="0" fontId="38" fillId="10" borderId="17" xfId="0" applyFont="1" applyFill="1" applyBorder="1" applyAlignment="1">
      <alignment horizontal="center" vertical="center" wrapText="1"/>
    </xf>
    <xf numFmtId="0" fontId="38" fillId="10" borderId="18" xfId="0" applyFont="1" applyFill="1" applyBorder="1" applyAlignment="1">
      <alignment horizontal="center" vertical="center" wrapText="1"/>
    </xf>
    <xf numFmtId="0" fontId="42" fillId="10" borderId="17" xfId="0" applyFont="1" applyFill="1" applyBorder="1" applyAlignment="1">
      <alignment horizontal="center"/>
    </xf>
    <xf numFmtId="0" fontId="42" fillId="10" borderId="18" xfId="0" applyFont="1" applyFill="1" applyBorder="1" applyAlignment="1">
      <alignment horizontal="center"/>
    </xf>
    <xf numFmtId="0" fontId="113" fillId="11" borderId="44" xfId="0" applyFont="1" applyFill="1" applyBorder="1" applyAlignment="1">
      <alignment horizontal="center" vertical="center" wrapText="1"/>
    </xf>
    <xf numFmtId="0" fontId="113" fillId="11" borderId="45" xfId="0" applyFont="1" applyFill="1" applyBorder="1" applyAlignment="1">
      <alignment horizontal="center" vertical="center" wrapText="1"/>
    </xf>
    <xf numFmtId="0" fontId="113" fillId="11" borderId="43" xfId="0" applyFont="1" applyFill="1" applyBorder="1" applyAlignment="1">
      <alignment horizontal="center" vertical="center" wrapText="1"/>
    </xf>
    <xf numFmtId="0" fontId="113" fillId="11" borderId="49" xfId="0" applyFont="1" applyFill="1" applyBorder="1" applyAlignment="1">
      <alignment horizontal="center" vertical="center"/>
    </xf>
    <xf numFmtId="0" fontId="113" fillId="11" borderId="50" xfId="0" applyFont="1" applyFill="1" applyBorder="1" applyAlignment="1">
      <alignment horizontal="center" vertical="center"/>
    </xf>
    <xf numFmtId="0" fontId="113" fillId="11" borderId="51" xfId="0" applyFont="1" applyFill="1" applyBorder="1" applyAlignment="1">
      <alignment horizontal="center" vertical="center"/>
    </xf>
    <xf numFmtId="0" fontId="113" fillId="11" borderId="52" xfId="0" applyFont="1" applyFill="1" applyBorder="1" applyAlignment="1">
      <alignment horizontal="center" vertical="center"/>
    </xf>
    <xf numFmtId="0" fontId="38" fillId="10" borderId="20" xfId="0" applyFont="1" applyFill="1" applyBorder="1" applyAlignment="1">
      <alignment horizontal="center" vertical="center" wrapText="1"/>
    </xf>
    <xf numFmtId="0" fontId="38" fillId="10" borderId="49" xfId="0" applyFont="1" applyFill="1" applyBorder="1" applyAlignment="1">
      <alignment horizontal="center" vertical="center" wrapText="1"/>
    </xf>
    <xf numFmtId="0" fontId="38" fillId="10" borderId="50" xfId="0" applyFont="1" applyFill="1" applyBorder="1" applyAlignment="1">
      <alignment horizontal="center" vertical="center" wrapText="1"/>
    </xf>
    <xf numFmtId="0" fontId="38" fillId="10" borderId="53" xfId="0" applyFont="1" applyFill="1" applyBorder="1" applyAlignment="1">
      <alignment horizontal="center" vertical="center" wrapText="1"/>
    </xf>
    <xf numFmtId="0" fontId="11" fillId="0" borderId="0" xfId="0" applyFont="1" applyAlignment="1">
      <alignment horizontal="center" vertical="center" wrapText="1"/>
    </xf>
    <xf numFmtId="0" fontId="121" fillId="11" borderId="63" xfId="0" applyFont="1" applyFill="1" applyBorder="1" applyAlignment="1">
      <alignment horizontal="center" vertical="center"/>
    </xf>
    <xf numFmtId="0" fontId="121" fillId="11" borderId="45" xfId="0" applyFont="1" applyFill="1" applyBorder="1" applyAlignment="1">
      <alignment horizontal="center" vertical="center"/>
    </xf>
    <xf numFmtId="0" fontId="121" fillId="11" borderId="43" xfId="0" applyFont="1" applyFill="1" applyBorder="1" applyAlignment="1">
      <alignment horizontal="center" vertical="center"/>
    </xf>
    <xf numFmtId="0" fontId="12" fillId="0" borderId="64" xfId="0" applyFont="1" applyBorder="1" applyAlignment="1">
      <alignment horizontal="left" vertical="center" wrapText="1"/>
    </xf>
    <xf numFmtId="0" fontId="12" fillId="0" borderId="31" xfId="0" applyFont="1" applyBorder="1" applyAlignment="1">
      <alignment horizontal="left" vertical="center" wrapText="1"/>
    </xf>
    <xf numFmtId="164" fontId="11" fillId="0" borderId="20" xfId="0" applyNumberFormat="1" applyFont="1" applyBorder="1" applyAlignment="1">
      <alignment horizontal="center" vertical="center"/>
    </xf>
    <xf numFmtId="164" fontId="11" fillId="0" borderId="31" xfId="0" applyNumberFormat="1" applyFont="1" applyBorder="1" applyAlignment="1">
      <alignment horizontal="center" vertical="center"/>
    </xf>
    <xf numFmtId="0" fontId="12" fillId="0" borderId="66" xfId="0" applyFont="1" applyBorder="1" applyAlignment="1">
      <alignment horizontal="left" vertical="center" wrapText="1"/>
    </xf>
    <xf numFmtId="0" fontId="12" fillId="0" borderId="61" xfId="0" applyFont="1" applyBorder="1" applyAlignment="1">
      <alignment horizontal="left" vertical="center" wrapText="1"/>
    </xf>
    <xf numFmtId="164" fontId="11" fillId="0" borderId="27" xfId="0" applyNumberFormat="1" applyFont="1" applyBorder="1" applyAlignment="1">
      <alignment horizontal="center" vertical="center"/>
    </xf>
    <xf numFmtId="164" fontId="11" fillId="0" borderId="61" xfId="0" applyNumberFormat="1" applyFont="1" applyBorder="1" applyAlignment="1">
      <alignment horizontal="center" vertical="center"/>
    </xf>
    <xf numFmtId="0" fontId="4" fillId="0" borderId="0" xfId="0" applyFont="1" applyAlignment="1">
      <alignment horizontal="left" vertical="center" wrapText="1"/>
    </xf>
    <xf numFmtId="0" fontId="12" fillId="0" borderId="65" xfId="0" applyFont="1" applyBorder="1" applyAlignment="1">
      <alignment horizontal="left" vertical="center" wrapText="1"/>
    </xf>
    <xf numFmtId="0" fontId="12" fillId="0" borderId="14" xfId="0" applyFont="1" applyBorder="1" applyAlignment="1">
      <alignment horizontal="left" vertical="center" wrapText="1"/>
    </xf>
    <xf numFmtId="164" fontId="11" fillId="0" borderId="13" xfId="0" applyNumberFormat="1" applyFont="1" applyBorder="1" applyAlignment="1">
      <alignment horizontal="center" vertical="center"/>
    </xf>
    <xf numFmtId="164" fontId="11" fillId="0" borderId="14" xfId="0" applyNumberFormat="1" applyFont="1" applyBorder="1" applyAlignment="1">
      <alignment horizontal="center" vertical="center"/>
    </xf>
    <xf numFmtId="0" fontId="120" fillId="11" borderId="44" xfId="0" applyFont="1" applyFill="1" applyBorder="1" applyAlignment="1">
      <alignment horizontal="center" vertical="center"/>
    </xf>
    <xf numFmtId="0" fontId="120" fillId="11" borderId="62" xfId="0" applyFont="1" applyFill="1" applyBorder="1" applyAlignment="1">
      <alignment horizontal="center" vertical="center"/>
    </xf>
    <xf numFmtId="0" fontId="115" fillId="11" borderId="44" xfId="0" applyFont="1" applyFill="1" applyBorder="1" applyAlignment="1">
      <alignment horizontal="center" vertical="center"/>
    </xf>
    <xf numFmtId="0" fontId="115" fillId="11" borderId="45" xfId="0" applyFont="1" applyFill="1" applyBorder="1" applyAlignment="1">
      <alignment horizontal="center" vertical="center"/>
    </xf>
    <xf numFmtId="0" fontId="115" fillId="11" borderId="43" xfId="0" applyFont="1" applyFill="1" applyBorder="1" applyAlignment="1">
      <alignment horizontal="center" vertical="center"/>
    </xf>
    <xf numFmtId="0" fontId="6" fillId="10" borderId="39" xfId="0" applyFont="1" applyFill="1" applyBorder="1" applyAlignment="1">
      <alignment horizontal="center" vertical="center"/>
    </xf>
    <xf numFmtId="0" fontId="6" fillId="10" borderId="33" xfId="0" applyFont="1" applyFill="1" applyBorder="1" applyAlignment="1">
      <alignment horizontal="center" vertical="center" wrapText="1"/>
    </xf>
    <xf numFmtId="0" fontId="6" fillId="10" borderId="24" xfId="0" applyFont="1" applyFill="1" applyBorder="1" applyAlignment="1">
      <alignment horizontal="center" vertical="center" wrapText="1"/>
    </xf>
    <xf numFmtId="0" fontId="6" fillId="10" borderId="33" xfId="0" applyFont="1" applyFill="1" applyBorder="1" applyAlignment="1">
      <alignment horizontal="center" vertical="center"/>
    </xf>
    <xf numFmtId="0" fontId="6" fillId="10" borderId="24" xfId="0" applyFont="1" applyFill="1" applyBorder="1" applyAlignment="1">
      <alignment horizontal="center" vertical="center"/>
    </xf>
    <xf numFmtId="0" fontId="16" fillId="10" borderId="33" xfId="0" applyFont="1" applyFill="1" applyBorder="1" applyAlignment="1">
      <alignment horizontal="center" vertical="center" wrapText="1"/>
    </xf>
    <xf numFmtId="0" fontId="16" fillId="10" borderId="24" xfId="0" applyFont="1" applyFill="1" applyBorder="1" applyAlignment="1">
      <alignment horizontal="center" vertical="center" wrapText="1"/>
    </xf>
    <xf numFmtId="0" fontId="16" fillId="10" borderId="18" xfId="0" applyFont="1" applyFill="1" applyBorder="1" applyAlignment="1">
      <alignment horizontal="center" vertical="center" wrapText="1"/>
    </xf>
    <xf numFmtId="0" fontId="10" fillId="10" borderId="51" xfId="0" applyFont="1" applyFill="1" applyBorder="1" applyAlignment="1">
      <alignment horizontal="center" vertical="center" wrapText="1"/>
    </xf>
    <xf numFmtId="0" fontId="10" fillId="10" borderId="57"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6" fillId="10" borderId="9" xfId="0" applyFont="1" applyFill="1" applyBorder="1" applyAlignment="1">
      <alignment horizontal="center" vertical="center" wrapText="1"/>
    </xf>
    <xf numFmtId="0" fontId="53" fillId="2" borderId="2" xfId="0" applyFont="1" applyFill="1" applyBorder="1" applyAlignment="1">
      <alignment horizontal="center"/>
    </xf>
    <xf numFmtId="0" fontId="17" fillId="0" borderId="31" xfId="0" applyFont="1" applyBorder="1" applyAlignment="1">
      <alignment horizontal="left" vertical="center" wrapText="1"/>
    </xf>
    <xf numFmtId="0" fontId="11" fillId="0" borderId="31" xfId="0" applyFont="1" applyBorder="1" applyAlignment="1">
      <alignment horizontal="left" vertical="center" wrapText="1"/>
    </xf>
    <xf numFmtId="0" fontId="114" fillId="11" borderId="44" xfId="0" applyFont="1" applyFill="1" applyBorder="1" applyAlignment="1">
      <alignment horizontal="center" vertical="center"/>
    </xf>
    <xf numFmtId="0" fontId="114" fillId="11" borderId="45" xfId="0" applyFont="1" applyFill="1" applyBorder="1" applyAlignment="1">
      <alignment horizontal="center" vertical="center"/>
    </xf>
    <xf numFmtId="0" fontId="114" fillId="11" borderId="43" xfId="0" applyFont="1" applyFill="1" applyBorder="1" applyAlignment="1">
      <alignment horizontal="center" vertical="center"/>
    </xf>
    <xf numFmtId="0" fontId="16" fillId="10" borderId="6" xfId="0" applyFont="1" applyFill="1" applyBorder="1" applyAlignment="1">
      <alignment horizontal="center" vertical="center"/>
    </xf>
    <xf numFmtId="0" fontId="16" fillId="10" borderId="39" xfId="0" applyFont="1" applyFill="1" applyBorder="1" applyAlignment="1">
      <alignment horizontal="center" vertical="center"/>
    </xf>
    <xf numFmtId="0" fontId="16" fillId="10" borderId="9" xfId="0" applyFont="1" applyFill="1" applyBorder="1" applyAlignment="1">
      <alignment horizontal="center" vertical="center"/>
    </xf>
    <xf numFmtId="0" fontId="6" fillId="10" borderId="70" xfId="0" applyFont="1" applyFill="1" applyBorder="1" applyAlignment="1">
      <alignment horizontal="center" vertical="center"/>
    </xf>
    <xf numFmtId="0" fontId="6" fillId="10" borderId="51" xfId="0" applyFont="1" applyFill="1" applyBorder="1" applyAlignment="1">
      <alignment horizontal="center" vertical="center" wrapText="1"/>
    </xf>
    <xf numFmtId="0" fontId="6" fillId="10" borderId="37" xfId="0"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0" borderId="51" xfId="0" applyFont="1" applyFill="1" applyBorder="1" applyAlignment="1">
      <alignment horizontal="center" vertical="center"/>
    </xf>
    <xf numFmtId="0" fontId="6" fillId="10" borderId="37" xfId="0" applyFont="1" applyFill="1" applyBorder="1" applyAlignment="1">
      <alignment horizontal="center" vertical="center"/>
    </xf>
    <xf numFmtId="0" fontId="6" fillId="10" borderId="57" xfId="0" applyFont="1" applyFill="1" applyBorder="1" applyAlignment="1">
      <alignment horizontal="center" vertical="center"/>
    </xf>
    <xf numFmtId="0" fontId="6" fillId="10" borderId="52" xfId="0" applyFont="1" applyFill="1" applyBorder="1" applyAlignment="1">
      <alignment horizontal="center" vertical="center"/>
    </xf>
    <xf numFmtId="0" fontId="6" fillId="10" borderId="55" xfId="0" applyFont="1" applyFill="1" applyBorder="1" applyAlignment="1">
      <alignment horizontal="center" vertical="center"/>
    </xf>
    <xf numFmtId="0" fontId="6" fillId="10" borderId="38" xfId="0" applyFont="1" applyFill="1" applyBorder="1" applyAlignment="1">
      <alignment horizontal="center" vertical="center"/>
    </xf>
    <xf numFmtId="0" fontId="6" fillId="10" borderId="65" xfId="0" applyFont="1" applyFill="1" applyBorder="1" applyAlignment="1">
      <alignment horizontal="center" vertical="center"/>
    </xf>
    <xf numFmtId="0" fontId="6" fillId="10" borderId="15" xfId="0" applyFont="1" applyFill="1" applyBorder="1" applyAlignment="1">
      <alignment horizontal="center" vertical="center"/>
    </xf>
    <xf numFmtId="0" fontId="6" fillId="10" borderId="69" xfId="0" applyFont="1" applyFill="1" applyBorder="1" applyAlignment="1">
      <alignment horizontal="center" vertical="center"/>
    </xf>
    <xf numFmtId="0" fontId="39" fillId="10" borderId="65" xfId="0" applyFont="1" applyFill="1" applyBorder="1" applyAlignment="1">
      <alignment horizontal="center" vertical="center" wrapText="1"/>
    </xf>
    <xf numFmtId="0" fontId="39" fillId="10" borderId="15" xfId="0" applyFont="1" applyFill="1" applyBorder="1" applyAlignment="1">
      <alignment horizontal="center" vertical="center" wrapText="1"/>
    </xf>
    <xf numFmtId="0" fontId="39" fillId="10" borderId="69" xfId="0" applyFont="1" applyFill="1" applyBorder="1" applyAlignment="1">
      <alignment horizontal="center" vertical="center" wrapText="1"/>
    </xf>
    <xf numFmtId="0" fontId="6" fillId="10" borderId="39" xfId="0" applyFont="1" applyFill="1" applyBorder="1" applyAlignment="1">
      <alignment horizontal="center" vertical="center" wrapText="1"/>
    </xf>
    <xf numFmtId="0" fontId="6" fillId="10" borderId="64" xfId="0" applyFont="1" applyFill="1" applyBorder="1" applyAlignment="1">
      <alignment horizontal="center" vertical="center"/>
    </xf>
    <xf numFmtId="0" fontId="6" fillId="10" borderId="31" xfId="0" applyFont="1" applyFill="1" applyBorder="1" applyAlignment="1">
      <alignment horizontal="center" vertical="center"/>
    </xf>
    <xf numFmtId="0" fontId="6" fillId="10" borderId="20" xfId="0" applyFont="1" applyFill="1" applyBorder="1" applyAlignment="1">
      <alignment horizontal="center" vertical="center"/>
    </xf>
    <xf numFmtId="0" fontId="6" fillId="10" borderId="59" xfId="0" applyFont="1" applyFill="1" applyBorder="1" applyAlignment="1">
      <alignment horizontal="center" vertical="center"/>
    </xf>
    <xf numFmtId="0" fontId="6" fillId="10" borderId="20" xfId="0" applyFont="1" applyFill="1" applyBorder="1" applyAlignment="1">
      <alignment horizontal="center" vertical="center" wrapText="1"/>
    </xf>
    <xf numFmtId="0" fontId="6" fillId="10" borderId="59" xfId="0" applyFont="1" applyFill="1" applyBorder="1" applyAlignment="1">
      <alignment horizontal="center" vertical="center" wrapText="1"/>
    </xf>
    <xf numFmtId="164" fontId="11" fillId="6" borderId="18" xfId="1" applyNumberFormat="1" applyFont="1" applyFill="1" applyBorder="1" applyAlignment="1">
      <alignment horizontal="left" vertical="center" wrapText="1"/>
    </xf>
    <xf numFmtId="164" fontId="11" fillId="6" borderId="20" xfId="1" applyNumberFormat="1" applyFont="1" applyFill="1" applyBorder="1" applyAlignment="1">
      <alignment horizontal="left" vertical="center" wrapText="1"/>
    </xf>
    <xf numFmtId="164" fontId="11" fillId="6" borderId="21" xfId="1" applyNumberFormat="1" applyFont="1" applyFill="1" applyBorder="1" applyAlignment="1">
      <alignment horizontal="left" vertical="center" wrapText="1"/>
    </xf>
    <xf numFmtId="164" fontId="11" fillId="6" borderId="31" xfId="1" applyNumberFormat="1" applyFont="1" applyFill="1" applyBorder="1" applyAlignment="1">
      <alignment horizontal="left" vertical="center" wrapText="1"/>
    </xf>
    <xf numFmtId="0" fontId="4" fillId="0" borderId="64" xfId="0" applyFont="1" applyBorder="1" applyAlignment="1">
      <alignment horizontal="center" vertical="center"/>
    </xf>
    <xf numFmtId="0" fontId="4" fillId="0" borderId="59" xfId="0" applyFont="1" applyBorder="1" applyAlignment="1">
      <alignment horizontal="center" vertical="center"/>
    </xf>
    <xf numFmtId="0" fontId="16" fillId="2" borderId="26" xfId="0" applyFont="1" applyFill="1" applyBorder="1" applyAlignment="1">
      <alignment horizontal="left" vertical="center"/>
    </xf>
    <xf numFmtId="0" fontId="4" fillId="0" borderId="66" xfId="0" applyFont="1" applyBorder="1" applyAlignment="1">
      <alignment horizontal="center" vertical="center"/>
    </xf>
    <xf numFmtId="0" fontId="4" fillId="0" borderId="79" xfId="0" applyFont="1" applyBorder="1" applyAlignment="1">
      <alignment horizontal="center" vertical="center"/>
    </xf>
    <xf numFmtId="0" fontId="27" fillId="7" borderId="44" xfId="0" applyFont="1" applyFill="1" applyBorder="1" applyAlignment="1">
      <alignment horizontal="left" vertical="center" wrapText="1"/>
    </xf>
    <xf numFmtId="0" fontId="27" fillId="7" borderId="43" xfId="0" applyFont="1" applyFill="1" applyBorder="1" applyAlignment="1">
      <alignment horizontal="left" vertical="center" wrapText="1"/>
    </xf>
    <xf numFmtId="0" fontId="6" fillId="0" borderId="50" xfId="0" applyFont="1" applyBorder="1" applyAlignment="1">
      <alignment horizontal="center" vertical="center" textRotation="180" wrapText="1"/>
    </xf>
    <xf numFmtId="0" fontId="6" fillId="0" borderId="18" xfId="0" applyFont="1" applyBorder="1" applyAlignment="1">
      <alignment horizontal="center" vertical="center" textRotation="180" wrapText="1"/>
    </xf>
    <xf numFmtId="0" fontId="6" fillId="0" borderId="26" xfId="0" applyFont="1" applyBorder="1" applyAlignment="1">
      <alignment horizontal="center" vertical="center" textRotation="180" wrapText="1"/>
    </xf>
    <xf numFmtId="0" fontId="16" fillId="0" borderId="51" xfId="0" applyFont="1" applyBorder="1" applyAlignment="1">
      <alignment horizontal="left" vertical="center" wrapText="1"/>
    </xf>
    <xf numFmtId="0" fontId="16" fillId="0" borderId="37" xfId="0" applyFont="1" applyBorder="1" applyAlignment="1">
      <alignment horizontal="left" vertical="center" wrapText="1"/>
    </xf>
    <xf numFmtId="0" fontId="16" fillId="0" borderId="12" xfId="0" applyFont="1" applyBorder="1" applyAlignment="1">
      <alignment horizontal="left" vertical="center" wrapText="1"/>
    </xf>
    <xf numFmtId="0" fontId="4" fillId="0" borderId="65" xfId="0" applyFont="1" applyBorder="1" applyAlignment="1">
      <alignment horizontal="center" vertical="center"/>
    </xf>
    <xf numFmtId="0" fontId="4" fillId="0" borderId="69" xfId="0" applyFont="1" applyBorder="1" applyAlignment="1">
      <alignment horizontal="center" vertical="center"/>
    </xf>
    <xf numFmtId="0" fontId="16" fillId="0" borderId="18" xfId="0" applyFont="1" applyBorder="1" applyAlignment="1">
      <alignment horizontal="left" vertical="center" wrapText="1"/>
    </xf>
    <xf numFmtId="0" fontId="16" fillId="0" borderId="50" xfId="0" applyFont="1" applyBorder="1" applyAlignment="1">
      <alignment horizontal="left" vertical="center" wrapText="1"/>
    </xf>
    <xf numFmtId="0" fontId="16" fillId="0" borderId="26" xfId="0" applyFont="1" applyBorder="1" applyAlignment="1">
      <alignment horizontal="left" vertical="center" wrapText="1"/>
    </xf>
    <xf numFmtId="166" fontId="4" fillId="2" borderId="36" xfId="2" applyNumberFormat="1" applyFont="1" applyFill="1" applyBorder="1" applyAlignment="1">
      <alignment horizontal="center" vertical="center"/>
    </xf>
    <xf numFmtId="166" fontId="4" fillId="2" borderId="37" xfId="2" applyNumberFormat="1" applyFont="1" applyFill="1" applyBorder="1" applyAlignment="1">
      <alignment horizontal="center" vertical="center"/>
    </xf>
    <xf numFmtId="166" fontId="4" fillId="2" borderId="12" xfId="2" applyNumberFormat="1" applyFont="1" applyFill="1" applyBorder="1" applyAlignment="1">
      <alignment horizontal="center" vertical="center"/>
    </xf>
    <xf numFmtId="166" fontId="16" fillId="2" borderId="36" xfId="2" applyNumberFormat="1" applyFont="1" applyFill="1" applyBorder="1" applyAlignment="1">
      <alignment horizontal="center" vertical="center"/>
    </xf>
    <xf numFmtId="166" fontId="16" fillId="2" borderId="37" xfId="2" applyNumberFormat="1" applyFont="1" applyFill="1" applyBorder="1" applyAlignment="1">
      <alignment horizontal="center" vertical="center"/>
    </xf>
    <xf numFmtId="166" fontId="16" fillId="2" borderId="12" xfId="2" applyNumberFormat="1" applyFont="1" applyFill="1" applyBorder="1" applyAlignment="1">
      <alignment horizontal="center" vertical="center"/>
    </xf>
    <xf numFmtId="0" fontId="16" fillId="0" borderId="36" xfId="0" applyFont="1" applyBorder="1" applyAlignment="1">
      <alignment horizontal="left" vertical="center" wrapText="1"/>
    </xf>
    <xf numFmtId="0" fontId="63" fillId="2" borderId="64" xfId="0" applyFont="1" applyFill="1" applyBorder="1" applyAlignment="1">
      <alignment horizontal="center" vertical="center"/>
    </xf>
    <xf numFmtId="0" fontId="63" fillId="2" borderId="59" xfId="0" applyFont="1" applyFill="1" applyBorder="1" applyAlignment="1">
      <alignment horizontal="center" vertical="center"/>
    </xf>
    <xf numFmtId="0" fontId="63" fillId="2" borderId="54" xfId="0" applyFont="1" applyFill="1" applyBorder="1" applyAlignment="1">
      <alignment horizontal="center" vertical="center" wrapText="1"/>
    </xf>
    <xf numFmtId="0" fontId="63" fillId="2" borderId="55" xfId="0" applyFont="1" applyFill="1" applyBorder="1" applyAlignment="1">
      <alignment horizontal="center" vertical="center"/>
    </xf>
    <xf numFmtId="0" fontId="63" fillId="2" borderId="46" xfId="0" applyFont="1" applyFill="1" applyBorder="1" applyAlignment="1">
      <alignment horizontal="center" vertical="center"/>
    </xf>
    <xf numFmtId="0" fontId="59" fillId="2" borderId="64" xfId="0" applyFont="1" applyFill="1" applyBorder="1" applyAlignment="1">
      <alignment horizontal="left" vertical="center" wrapText="1"/>
    </xf>
    <xf numFmtId="0" fontId="59" fillId="2" borderId="59" xfId="0" applyFont="1" applyFill="1" applyBorder="1" applyAlignment="1">
      <alignment horizontal="left" vertical="center" wrapText="1"/>
    </xf>
    <xf numFmtId="0" fontId="6" fillId="0" borderId="12" xfId="0" applyFont="1" applyBorder="1" applyAlignment="1">
      <alignment horizontal="center" vertical="center" textRotation="180" wrapText="1"/>
    </xf>
    <xf numFmtId="0" fontId="6" fillId="0" borderId="36" xfId="0" applyFont="1" applyBorder="1" applyAlignment="1">
      <alignment horizontal="center" vertical="center" textRotation="180" wrapText="1"/>
    </xf>
    <xf numFmtId="0" fontId="16" fillId="0" borderId="67" xfId="0" applyFont="1" applyBorder="1" applyAlignment="1">
      <alignment horizontal="center" vertical="center"/>
    </xf>
    <xf numFmtId="0" fontId="16" fillId="0" borderId="70" xfId="0" applyFont="1" applyBorder="1" applyAlignment="1">
      <alignment horizontal="center" vertical="center"/>
    </xf>
    <xf numFmtId="0" fontId="16" fillId="0" borderId="11" xfId="0" applyFont="1" applyBorder="1" applyAlignment="1">
      <alignment horizontal="center" vertical="center"/>
    </xf>
    <xf numFmtId="0" fontId="49" fillId="2" borderId="36" xfId="0" applyFont="1" applyFill="1" applyBorder="1" applyAlignment="1">
      <alignment horizontal="left" vertical="center"/>
    </xf>
    <xf numFmtId="0" fontId="49" fillId="2" borderId="37" xfId="0" applyFont="1" applyFill="1" applyBorder="1" applyAlignment="1">
      <alignment horizontal="left" vertical="center"/>
    </xf>
    <xf numFmtId="0" fontId="49" fillId="2" borderId="12" xfId="0" applyFont="1" applyFill="1" applyBorder="1" applyAlignment="1">
      <alignment horizontal="left" vertical="center"/>
    </xf>
    <xf numFmtId="0" fontId="49" fillId="2" borderId="36" xfId="0" applyFont="1" applyFill="1" applyBorder="1" applyAlignment="1">
      <alignment horizontal="center" vertical="center"/>
    </xf>
    <xf numFmtId="0" fontId="49" fillId="2" borderId="37" xfId="0" applyFont="1" applyFill="1" applyBorder="1" applyAlignment="1">
      <alignment horizontal="center" vertical="center"/>
    </xf>
    <xf numFmtId="0" fontId="49" fillId="2" borderId="12" xfId="0" applyFont="1" applyFill="1" applyBorder="1" applyAlignment="1">
      <alignment horizontal="center" vertical="center"/>
    </xf>
    <xf numFmtId="0" fontId="60" fillId="2" borderId="36" xfId="0" applyFont="1" applyFill="1" applyBorder="1" applyAlignment="1">
      <alignment horizontal="center" vertical="center"/>
    </xf>
    <xf numFmtId="0" fontId="60" fillId="2" borderId="37" xfId="0" applyFont="1" applyFill="1" applyBorder="1" applyAlignment="1">
      <alignment horizontal="center" vertical="center"/>
    </xf>
    <xf numFmtId="0" fontId="60" fillId="2" borderId="12" xfId="0" applyFont="1" applyFill="1" applyBorder="1" applyAlignment="1">
      <alignment horizontal="center" vertical="center"/>
    </xf>
    <xf numFmtId="0" fontId="16" fillId="0" borderId="36"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12" xfId="0" applyFont="1" applyBorder="1" applyAlignment="1">
      <alignment horizontal="center" vertical="center" wrapText="1"/>
    </xf>
    <xf numFmtId="49" fontId="113" fillId="11" borderId="1" xfId="3" applyNumberFormat="1" applyFont="1" applyFill="1" applyBorder="1" applyAlignment="1">
      <alignment horizontal="center" vertical="center" wrapText="1"/>
    </xf>
    <xf numFmtId="49" fontId="113" fillId="11" borderId="2" xfId="3" applyNumberFormat="1" applyFont="1" applyFill="1" applyBorder="1" applyAlignment="1">
      <alignment horizontal="center" vertical="center" wrapText="1"/>
    </xf>
    <xf numFmtId="49" fontId="113" fillId="11" borderId="45" xfId="3" applyNumberFormat="1" applyFont="1" applyFill="1" applyBorder="1" applyAlignment="1">
      <alignment horizontal="center" vertical="center" wrapText="1"/>
    </xf>
    <xf numFmtId="49" fontId="113" fillId="11" borderId="43" xfId="3" applyNumberFormat="1" applyFont="1" applyFill="1" applyBorder="1" applyAlignment="1">
      <alignment horizontal="center" vertical="center" wrapText="1"/>
    </xf>
    <xf numFmtId="0" fontId="39" fillId="10" borderId="18" xfId="0" applyFont="1" applyFill="1" applyBorder="1" applyAlignment="1">
      <alignment horizontal="center" vertical="center"/>
    </xf>
    <xf numFmtId="0" fontId="59" fillId="10" borderId="39" xfId="0" applyFont="1" applyFill="1" applyBorder="1" applyAlignment="1">
      <alignment horizontal="center" vertical="center" wrapText="1"/>
    </xf>
    <xf numFmtId="0" fontId="59" fillId="10" borderId="9" xfId="0" applyFont="1" applyFill="1" applyBorder="1" applyAlignment="1">
      <alignment horizontal="center" vertical="center" wrapText="1"/>
    </xf>
    <xf numFmtId="0" fontId="49" fillId="10" borderId="39" xfId="0" applyFont="1" applyFill="1" applyBorder="1" applyAlignment="1">
      <alignment horizontal="center" vertical="center" wrapText="1"/>
    </xf>
    <xf numFmtId="0" fontId="49" fillId="10" borderId="9" xfId="0" applyFont="1" applyFill="1" applyBorder="1" applyAlignment="1">
      <alignment horizontal="center" vertical="center" wrapText="1"/>
    </xf>
    <xf numFmtId="0" fontId="39" fillId="10" borderId="76" xfId="0" applyFont="1" applyFill="1" applyBorder="1" applyAlignment="1">
      <alignment horizontal="center" vertical="center" wrapText="1"/>
    </xf>
    <xf numFmtId="0" fontId="39" fillId="10" borderId="78" xfId="0" applyFont="1" applyFill="1" applyBorder="1" applyAlignment="1">
      <alignment horizontal="center" vertical="center" wrapText="1"/>
    </xf>
    <xf numFmtId="0" fontId="49" fillId="10" borderId="12" xfId="0" applyFont="1" applyFill="1" applyBorder="1" applyAlignment="1">
      <alignment horizontal="center" wrapText="1"/>
    </xf>
    <xf numFmtId="0" fontId="39" fillId="10" borderId="77" xfId="0" applyFont="1" applyFill="1" applyBorder="1" applyAlignment="1">
      <alignment horizontal="center" vertical="center" wrapText="1"/>
    </xf>
    <xf numFmtId="0" fontId="39" fillId="10" borderId="73" xfId="0" applyFont="1" applyFill="1" applyBorder="1" applyAlignment="1">
      <alignment horizontal="center" vertical="center" wrapText="1"/>
    </xf>
    <xf numFmtId="0" fontId="39" fillId="10" borderId="2" xfId="0" applyFont="1" applyFill="1" applyBorder="1" applyAlignment="1">
      <alignment horizontal="center" vertical="center" wrapText="1"/>
    </xf>
    <xf numFmtId="0" fontId="39" fillId="10" borderId="29" xfId="0" applyFont="1" applyFill="1" applyBorder="1" applyAlignment="1">
      <alignment horizontal="center" vertical="center" wrapText="1"/>
    </xf>
    <xf numFmtId="0" fontId="39" fillId="10" borderId="3" xfId="0" applyFont="1" applyFill="1" applyBorder="1" applyAlignment="1">
      <alignment horizontal="center" vertical="center" wrapText="1"/>
    </xf>
    <xf numFmtId="0" fontId="39" fillId="10" borderId="42" xfId="0" applyFont="1" applyFill="1" applyBorder="1" applyAlignment="1">
      <alignment horizontal="center" vertical="center" wrapText="1"/>
    </xf>
    <xf numFmtId="0" fontId="39" fillId="10" borderId="4" xfId="0" applyFont="1" applyFill="1" applyBorder="1" applyAlignment="1">
      <alignment horizontal="center" vertical="center" wrapText="1"/>
    </xf>
    <xf numFmtId="0" fontId="39" fillId="10" borderId="40" xfId="0" applyFont="1" applyFill="1" applyBorder="1" applyAlignment="1">
      <alignment horizontal="center" vertical="center" wrapText="1"/>
    </xf>
    <xf numFmtId="0" fontId="39" fillId="10" borderId="5" xfId="0" applyFont="1" applyFill="1" applyBorder="1" applyAlignment="1">
      <alignment horizontal="center" vertical="center" wrapText="1"/>
    </xf>
    <xf numFmtId="0" fontId="122" fillId="11" borderId="44" xfId="0" applyFont="1" applyFill="1" applyBorder="1" applyAlignment="1">
      <alignment horizontal="center" vertical="center"/>
    </xf>
    <xf numFmtId="0" fontId="122" fillId="11" borderId="45" xfId="0" applyFont="1" applyFill="1" applyBorder="1" applyAlignment="1">
      <alignment horizontal="center" vertical="center"/>
    </xf>
    <xf numFmtId="0" fontId="122" fillId="11" borderId="43" xfId="0" applyFont="1" applyFill="1" applyBorder="1" applyAlignment="1">
      <alignment horizontal="center" vertical="center"/>
    </xf>
    <xf numFmtId="0" fontId="126" fillId="11" borderId="1" xfId="0" applyFont="1" applyFill="1" applyBorder="1" applyAlignment="1">
      <alignment horizontal="center" vertical="center"/>
    </xf>
    <xf numFmtId="0" fontId="126" fillId="11" borderId="2" xfId="0" applyFont="1" applyFill="1" applyBorder="1" applyAlignment="1">
      <alignment horizontal="center" vertical="center"/>
    </xf>
    <xf numFmtId="0" fontId="126" fillId="11" borderId="3" xfId="0" applyFont="1" applyFill="1" applyBorder="1" applyAlignment="1">
      <alignment horizontal="center" vertical="center"/>
    </xf>
    <xf numFmtId="0" fontId="16" fillId="0" borderId="33" xfId="0" applyFont="1" applyBorder="1" applyAlignment="1">
      <alignment horizontal="left" vertical="center"/>
    </xf>
    <xf numFmtId="0" fontId="16" fillId="0" borderId="11" xfId="0" applyFont="1" applyBorder="1" applyAlignment="1">
      <alignment horizontal="left" vertical="center"/>
    </xf>
    <xf numFmtId="0" fontId="16" fillId="0" borderId="51" xfId="0" applyFont="1" applyBorder="1" applyAlignment="1">
      <alignment horizontal="center" vertical="center"/>
    </xf>
    <xf numFmtId="0" fontId="16" fillId="0" borderId="12" xfId="0" applyFont="1" applyBorder="1" applyAlignment="1">
      <alignment horizontal="center" vertical="center"/>
    </xf>
    <xf numFmtId="0" fontId="4" fillId="0" borderId="51" xfId="0" applyFont="1" applyBorder="1" applyAlignment="1">
      <alignment horizontal="center" vertical="center"/>
    </xf>
    <xf numFmtId="0" fontId="4" fillId="0" borderId="12" xfId="0" applyFont="1" applyBorder="1" applyAlignment="1">
      <alignment horizontal="center" vertical="center"/>
    </xf>
    <xf numFmtId="0" fontId="16" fillId="0" borderId="67" xfId="0" applyFont="1" applyBorder="1" applyAlignment="1">
      <alignment horizontal="left" vertical="center"/>
    </xf>
    <xf numFmtId="0" fontId="4" fillId="0" borderId="36" xfId="0" applyFont="1" applyBorder="1" applyAlignment="1">
      <alignment horizontal="center" vertical="center"/>
    </xf>
    <xf numFmtId="6" fontId="16" fillId="10" borderId="66" xfId="0" applyNumberFormat="1" applyFont="1" applyFill="1" applyBorder="1" applyAlignment="1">
      <alignment horizontal="center"/>
    </xf>
    <xf numFmtId="6" fontId="16" fillId="10" borderId="79" xfId="0" applyNumberFormat="1" applyFont="1" applyFill="1" applyBorder="1" applyAlignment="1">
      <alignment horizontal="center"/>
    </xf>
    <xf numFmtId="6" fontId="16" fillId="10" borderId="64" xfId="0" applyNumberFormat="1" applyFont="1" applyFill="1" applyBorder="1" applyAlignment="1">
      <alignment horizontal="center"/>
    </xf>
    <xf numFmtId="6" fontId="16" fillId="10" borderId="59" xfId="0" applyNumberFormat="1" applyFont="1" applyFill="1" applyBorder="1" applyAlignment="1">
      <alignment horizontal="center"/>
    </xf>
    <xf numFmtId="0" fontId="68" fillId="10" borderId="6" xfId="0" applyFont="1" applyFill="1" applyBorder="1" applyAlignment="1">
      <alignment horizontal="center" vertical="center" wrapText="1"/>
    </xf>
    <xf numFmtId="0" fontId="68" fillId="10" borderId="9" xfId="0" applyFont="1" applyFill="1" applyBorder="1" applyAlignment="1">
      <alignment horizontal="center" vertical="center" wrapText="1"/>
    </xf>
    <xf numFmtId="0" fontId="16" fillId="10" borderId="8"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1" fillId="2" borderId="16" xfId="0" applyFont="1" applyFill="1" applyBorder="1" applyAlignment="1">
      <alignment vertical="center" wrapText="1"/>
    </xf>
    <xf numFmtId="0" fontId="11" fillId="2" borderId="10" xfId="0" applyFont="1" applyFill="1" applyBorder="1" applyAlignment="1">
      <alignment vertical="center" wrapText="1"/>
    </xf>
    <xf numFmtId="0" fontId="16" fillId="4" borderId="44" xfId="0" applyFont="1" applyFill="1" applyBorder="1" applyAlignment="1">
      <alignment horizontal="center" vertical="center" wrapText="1"/>
    </xf>
    <xf numFmtId="0" fontId="16" fillId="4" borderId="43" xfId="0" applyFont="1" applyFill="1" applyBorder="1" applyAlignment="1">
      <alignment horizontal="center" vertical="center" wrapText="1"/>
    </xf>
    <xf numFmtId="6" fontId="16" fillId="10" borderId="65" xfId="0" applyNumberFormat="1" applyFont="1" applyFill="1" applyBorder="1" applyAlignment="1">
      <alignment horizontal="center"/>
    </xf>
    <xf numFmtId="6" fontId="16" fillId="10" borderId="69" xfId="0" applyNumberFormat="1" applyFont="1" applyFill="1" applyBorder="1" applyAlignment="1">
      <alignment horizontal="center"/>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31" xfId="0" applyFont="1" applyBorder="1" applyAlignment="1">
      <alignment horizontal="center" vertical="center" wrapText="1"/>
    </xf>
    <xf numFmtId="0" fontId="113" fillId="17" borderId="0" xfId="0" applyFont="1" applyFill="1" applyAlignment="1">
      <alignment horizontal="center" vertical="center"/>
    </xf>
    <xf numFmtId="0" fontId="113" fillId="17" borderId="5" xfId="0" applyFont="1" applyFill="1" applyBorder="1" applyAlignment="1">
      <alignment horizontal="center" vertical="center"/>
    </xf>
    <xf numFmtId="0" fontId="6" fillId="10" borderId="1" xfId="0" applyFont="1" applyFill="1" applyBorder="1" applyAlignment="1">
      <alignment horizontal="center" vertical="center"/>
    </xf>
    <xf numFmtId="0" fontId="6" fillId="10" borderId="40" xfId="0" applyFont="1" applyFill="1" applyBorder="1" applyAlignment="1">
      <alignment horizontal="center" vertical="center"/>
    </xf>
    <xf numFmtId="0" fontId="9" fillId="10" borderId="76" xfId="0" applyFont="1" applyFill="1" applyBorder="1" applyAlignment="1">
      <alignment horizontal="center" vertical="center"/>
    </xf>
    <xf numFmtId="0" fontId="9" fillId="10" borderId="78" xfId="0" applyFont="1" applyFill="1" applyBorder="1" applyAlignment="1">
      <alignment horizontal="center" vertical="center"/>
    </xf>
    <xf numFmtId="0" fontId="16" fillId="10" borderId="44" xfId="0" applyFont="1" applyFill="1" applyBorder="1" applyAlignment="1">
      <alignment horizontal="center" vertical="center" wrapText="1"/>
    </xf>
    <xf numFmtId="0" fontId="16" fillId="10" borderId="45" xfId="0" applyFont="1" applyFill="1" applyBorder="1" applyAlignment="1">
      <alignment horizontal="center" vertical="center" wrapText="1"/>
    </xf>
    <xf numFmtId="0" fontId="16" fillId="10" borderId="43" xfId="0" applyFont="1" applyFill="1" applyBorder="1" applyAlignment="1">
      <alignment horizontal="center" vertical="center" wrapText="1"/>
    </xf>
    <xf numFmtId="0" fontId="10" fillId="10" borderId="44" xfId="0" applyFont="1" applyFill="1" applyBorder="1" applyAlignment="1">
      <alignment horizontal="center" vertical="center"/>
    </xf>
    <xf numFmtId="0" fontId="10" fillId="10" borderId="43" xfId="0" applyFont="1" applyFill="1" applyBorder="1" applyAlignment="1">
      <alignment horizontal="center" vertical="center"/>
    </xf>
    <xf numFmtId="0" fontId="6" fillId="10" borderId="44" xfId="0" applyFont="1" applyFill="1" applyBorder="1" applyAlignment="1">
      <alignment horizontal="center" vertical="center"/>
    </xf>
    <xf numFmtId="0" fontId="6" fillId="10" borderId="43" xfId="0" applyFont="1" applyFill="1" applyBorder="1" applyAlignment="1">
      <alignment horizontal="center" vertical="center"/>
    </xf>
    <xf numFmtId="0" fontId="85" fillId="10" borderId="44" xfId="0" applyFont="1" applyFill="1" applyBorder="1" applyAlignment="1">
      <alignment horizontal="center" vertical="center" wrapText="1"/>
    </xf>
    <xf numFmtId="0" fontId="85" fillId="10" borderId="43" xfId="0" applyFont="1" applyFill="1" applyBorder="1" applyAlignment="1">
      <alignment horizontal="center" vertical="center" wrapText="1"/>
    </xf>
    <xf numFmtId="0" fontId="90" fillId="2" borderId="27" xfId="0" applyFont="1" applyFill="1" applyBorder="1" applyAlignment="1">
      <alignment horizontal="left"/>
    </xf>
    <xf numFmtId="0" fontId="90" fillId="2" borderId="28" xfId="0" applyFont="1" applyFill="1" applyBorder="1" applyAlignment="1">
      <alignment horizontal="left"/>
    </xf>
    <xf numFmtId="0" fontId="90" fillId="2" borderId="79" xfId="0" applyFont="1" applyFill="1" applyBorder="1" applyAlignment="1">
      <alignment horizontal="left"/>
    </xf>
    <xf numFmtId="0" fontId="122" fillId="11" borderId="74" xfId="0" applyFont="1" applyFill="1" applyBorder="1" applyAlignment="1">
      <alignment horizontal="center"/>
    </xf>
    <xf numFmtId="0" fontId="122" fillId="11" borderId="56" xfId="0" applyFont="1" applyFill="1" applyBorder="1" applyAlignment="1">
      <alignment horizontal="center"/>
    </xf>
    <xf numFmtId="0" fontId="0" fillId="2" borderId="50" xfId="3" applyFont="1" applyFill="1" applyBorder="1" applyAlignment="1">
      <alignment horizontal="center" wrapText="1"/>
    </xf>
    <xf numFmtId="0" fontId="1" fillId="2" borderId="50" xfId="3" applyFont="1" applyFill="1" applyBorder="1" applyAlignment="1">
      <alignment horizontal="center"/>
    </xf>
    <xf numFmtId="0" fontId="27" fillId="14" borderId="51" xfId="0" applyFont="1" applyFill="1" applyBorder="1" applyAlignment="1">
      <alignment horizontal="center" vertical="center" wrapText="1"/>
    </xf>
    <xf numFmtId="0" fontId="27" fillId="14" borderId="37" xfId="0" applyFont="1" applyFill="1" applyBorder="1" applyAlignment="1">
      <alignment horizontal="center" vertical="center" wrapText="1"/>
    </xf>
    <xf numFmtId="0" fontId="27" fillId="14" borderId="57" xfId="0" applyFont="1" applyFill="1" applyBorder="1" applyAlignment="1">
      <alignment horizontal="center" vertical="center" wrapText="1"/>
    </xf>
    <xf numFmtId="0" fontId="0" fillId="2" borderId="18" xfId="0" applyFill="1" applyBorder="1" applyAlignment="1">
      <alignment horizontal="center"/>
    </xf>
    <xf numFmtId="0" fontId="0" fillId="2" borderId="26" xfId="0" applyFill="1" applyBorder="1" applyAlignment="1">
      <alignment horizontal="center"/>
    </xf>
    <xf numFmtId="0" fontId="122" fillId="11" borderId="4" xfId="0" applyFont="1" applyFill="1" applyBorder="1" applyAlignment="1">
      <alignment horizontal="center" vertical="center"/>
    </xf>
    <xf numFmtId="0" fontId="122" fillId="11" borderId="0" xfId="0" applyFont="1" applyFill="1" applyAlignment="1">
      <alignment horizontal="center" vertical="center"/>
    </xf>
    <xf numFmtId="0" fontId="125" fillId="11" borderId="81" xfId="0" applyFont="1" applyFill="1" applyBorder="1" applyAlignment="1">
      <alignment horizontal="center" vertical="top" wrapText="1"/>
    </xf>
    <xf numFmtId="0" fontId="125" fillId="11" borderId="82" xfId="0" applyFont="1" applyFill="1" applyBorder="1" applyAlignment="1">
      <alignment horizontal="center" vertical="top" wrapText="1"/>
    </xf>
    <xf numFmtId="0" fontId="125" fillId="11" borderId="83" xfId="0" applyFont="1" applyFill="1" applyBorder="1" applyAlignment="1">
      <alignment horizontal="center" vertical="top" wrapText="1"/>
    </xf>
    <xf numFmtId="0" fontId="0" fillId="0" borderId="87" xfId="0" applyBorder="1" applyAlignment="1">
      <alignment horizontal="left" wrapText="1"/>
    </xf>
    <xf numFmtId="0" fontId="0" fillId="0" borderId="88" xfId="0" applyBorder="1" applyAlignment="1">
      <alignment horizontal="left" wrapText="1"/>
    </xf>
    <xf numFmtId="0" fontId="0" fillId="0" borderId="89" xfId="0" applyBorder="1" applyAlignment="1">
      <alignment horizontal="left" wrapText="1"/>
    </xf>
    <xf numFmtId="0" fontId="58" fillId="10" borderId="81" xfId="0" applyFont="1" applyFill="1" applyBorder="1" applyAlignment="1">
      <alignment horizontal="left" vertical="top" wrapText="1"/>
    </xf>
    <xf numFmtId="0" fontId="58" fillId="10" borderId="82" xfId="0" applyFont="1" applyFill="1" applyBorder="1" applyAlignment="1">
      <alignment horizontal="left" vertical="top" wrapText="1"/>
    </xf>
    <xf numFmtId="0" fontId="58" fillId="10" borderId="83" xfId="0" applyFont="1" applyFill="1" applyBorder="1" applyAlignment="1">
      <alignment horizontal="left" vertical="top" wrapText="1"/>
    </xf>
    <xf numFmtId="164" fontId="28" fillId="5" borderId="18" xfId="1" applyNumberFormat="1" applyFont="1" applyFill="1" applyBorder="1" applyAlignment="1">
      <alignment horizontal="center" vertical="center"/>
    </xf>
    <xf numFmtId="164" fontId="28" fillId="6" borderId="18" xfId="1" applyNumberFormat="1" applyFont="1" applyFill="1" applyBorder="1" applyAlignment="1">
      <alignment horizontal="center" vertical="center"/>
    </xf>
    <xf numFmtId="0" fontId="60" fillId="6" borderId="1" xfId="0" applyFont="1" applyFill="1" applyBorder="1" applyAlignment="1">
      <alignment horizontal="left" vertical="center" wrapText="1"/>
    </xf>
    <xf numFmtId="0" fontId="60" fillId="6" borderId="2" xfId="0" applyFont="1" applyFill="1" applyBorder="1" applyAlignment="1">
      <alignment horizontal="left" vertical="center" wrapText="1"/>
    </xf>
    <xf numFmtId="0" fontId="60" fillId="6" borderId="3" xfId="0" applyFont="1" applyFill="1" applyBorder="1" applyAlignment="1">
      <alignment horizontal="left" vertical="center" wrapText="1"/>
    </xf>
    <xf numFmtId="0" fontId="11" fillId="9" borderId="18" xfId="0" applyFont="1" applyFill="1" applyBorder="1" applyAlignment="1">
      <alignment horizontal="left" vertical="center" wrapText="1"/>
    </xf>
    <xf numFmtId="0" fontId="4" fillId="0" borderId="56" xfId="0" applyFont="1" applyBorder="1" applyAlignment="1">
      <alignment horizontal="left"/>
    </xf>
    <xf numFmtId="0" fontId="115" fillId="11" borderId="40" xfId="0" applyFont="1" applyFill="1" applyBorder="1" applyAlignment="1">
      <alignment horizontal="center" vertical="center" wrapText="1"/>
    </xf>
    <xf numFmtId="0" fontId="115" fillId="11" borderId="29" xfId="0" applyFont="1" applyFill="1" applyBorder="1" applyAlignment="1">
      <alignment horizontal="center" vertical="center" wrapText="1"/>
    </xf>
    <xf numFmtId="164" fontId="11" fillId="5" borderId="50" xfId="1" applyNumberFormat="1" applyFont="1" applyFill="1" applyBorder="1" applyAlignment="1">
      <alignment horizontal="center" vertical="center"/>
    </xf>
    <xf numFmtId="164" fontId="4" fillId="6" borderId="50" xfId="0" applyNumberFormat="1" applyFont="1" applyFill="1" applyBorder="1" applyAlignment="1">
      <alignment horizontal="center" vertical="center"/>
    </xf>
    <xf numFmtId="164" fontId="11" fillId="5" borderId="18" xfId="1" applyNumberFormat="1" applyFont="1" applyFill="1" applyBorder="1" applyAlignment="1">
      <alignment horizontal="center" vertical="center"/>
    </xf>
    <xf numFmtId="164" fontId="4" fillId="6" borderId="18" xfId="0" applyNumberFormat="1" applyFont="1" applyFill="1" applyBorder="1" applyAlignment="1">
      <alignment horizontal="center" vertical="center"/>
    </xf>
    <xf numFmtId="6" fontId="16" fillId="3" borderId="64" xfId="0" applyNumberFormat="1" applyFont="1" applyFill="1" applyBorder="1" applyAlignment="1">
      <alignment horizontal="center"/>
    </xf>
    <xf numFmtId="6" fontId="16" fillId="3" borderId="59" xfId="0" applyNumberFormat="1" applyFont="1" applyFill="1" applyBorder="1" applyAlignment="1">
      <alignment horizontal="center"/>
    </xf>
    <xf numFmtId="6" fontId="16" fillId="3" borderId="66" xfId="0" applyNumberFormat="1" applyFont="1" applyFill="1" applyBorder="1" applyAlignment="1">
      <alignment horizontal="center"/>
    </xf>
    <xf numFmtId="6" fontId="16" fillId="3" borderId="79" xfId="0" applyNumberFormat="1" applyFont="1" applyFill="1" applyBorder="1" applyAlignment="1">
      <alignment horizontal="center"/>
    </xf>
    <xf numFmtId="6" fontId="16" fillId="3" borderId="65" xfId="0" applyNumberFormat="1" applyFont="1" applyFill="1" applyBorder="1" applyAlignment="1">
      <alignment horizontal="center"/>
    </xf>
    <xf numFmtId="6" fontId="16" fillId="3" borderId="69" xfId="0" applyNumberFormat="1" applyFont="1" applyFill="1" applyBorder="1" applyAlignment="1">
      <alignment horizontal="center"/>
    </xf>
    <xf numFmtId="164" fontId="28" fillId="5" borderId="20" xfId="1" applyNumberFormat="1" applyFont="1" applyFill="1" applyBorder="1" applyAlignment="1">
      <alignment horizontal="center" vertical="center"/>
    </xf>
    <xf numFmtId="164" fontId="28" fillId="5" borderId="31" xfId="1" applyNumberFormat="1" applyFont="1" applyFill="1" applyBorder="1" applyAlignment="1">
      <alignment horizontal="center" vertical="center"/>
    </xf>
    <xf numFmtId="164" fontId="28" fillId="6" borderId="20" xfId="1" applyNumberFormat="1" applyFont="1" applyFill="1" applyBorder="1" applyAlignment="1">
      <alignment horizontal="center" vertical="center"/>
    </xf>
    <xf numFmtId="164" fontId="28" fillId="6" borderId="31" xfId="1" applyNumberFormat="1" applyFont="1" applyFill="1" applyBorder="1" applyAlignment="1">
      <alignment horizontal="center" vertical="center"/>
    </xf>
    <xf numFmtId="164" fontId="28" fillId="5" borderId="13" xfId="1" applyNumberFormat="1" applyFont="1" applyFill="1" applyBorder="1" applyAlignment="1">
      <alignment horizontal="center" vertical="center"/>
    </xf>
    <xf numFmtId="164" fontId="28" fillId="5" borderId="14" xfId="1" applyNumberFormat="1" applyFont="1" applyFill="1" applyBorder="1" applyAlignment="1">
      <alignment horizontal="center" vertical="center"/>
    </xf>
    <xf numFmtId="164" fontId="28" fillId="6" borderId="13" xfId="1" applyNumberFormat="1" applyFont="1" applyFill="1" applyBorder="1" applyAlignment="1">
      <alignment horizontal="center" vertical="center"/>
    </xf>
    <xf numFmtId="164" fontId="28" fillId="6" borderId="14" xfId="1" applyNumberFormat="1" applyFont="1" applyFill="1" applyBorder="1" applyAlignment="1">
      <alignment horizontal="center" vertical="center"/>
    </xf>
    <xf numFmtId="0" fontId="115" fillId="11" borderId="44" xfId="0" applyFont="1" applyFill="1" applyBorder="1" applyAlignment="1">
      <alignment horizontal="center" vertical="center" wrapText="1"/>
    </xf>
    <xf numFmtId="0" fontId="115" fillId="11" borderId="45" xfId="0" applyFont="1" applyFill="1" applyBorder="1" applyAlignment="1">
      <alignment horizontal="center" vertical="center" wrapText="1"/>
    </xf>
    <xf numFmtId="0" fontId="115" fillId="11" borderId="43" xfId="0" applyFont="1" applyFill="1" applyBorder="1" applyAlignment="1">
      <alignment horizontal="center" vertical="center" wrapText="1"/>
    </xf>
    <xf numFmtId="0" fontId="6" fillId="10" borderId="44" xfId="0" applyFont="1" applyFill="1" applyBorder="1" applyAlignment="1">
      <alignment horizontal="center" vertical="center" wrapText="1"/>
    </xf>
    <xf numFmtId="0" fontId="6" fillId="10" borderId="62" xfId="0" applyFont="1" applyFill="1" applyBorder="1" applyAlignment="1">
      <alignment horizontal="center" vertical="center" wrapText="1"/>
    </xf>
    <xf numFmtId="0" fontId="6" fillId="10" borderId="63" xfId="0" applyFont="1" applyFill="1" applyBorder="1" applyAlignment="1">
      <alignment horizontal="center" vertical="center" wrapText="1"/>
    </xf>
    <xf numFmtId="0" fontId="6" fillId="10" borderId="43" xfId="0" applyFont="1" applyFill="1" applyBorder="1" applyAlignment="1">
      <alignment horizontal="center" vertical="center" wrapText="1"/>
    </xf>
    <xf numFmtId="0" fontId="105" fillId="2" borderId="44" xfId="0" applyFont="1" applyFill="1" applyBorder="1" applyAlignment="1">
      <alignment horizontal="center"/>
    </xf>
    <xf numFmtId="0" fontId="105" fillId="2" borderId="45" xfId="0" applyFont="1" applyFill="1" applyBorder="1" applyAlignment="1">
      <alignment horizontal="center"/>
    </xf>
    <xf numFmtId="0" fontId="105" fillId="2" borderId="43" xfId="0" applyFont="1" applyFill="1" applyBorder="1" applyAlignment="1">
      <alignment horizontal="center"/>
    </xf>
    <xf numFmtId="0" fontId="47" fillId="2" borderId="6" xfId="0" applyFont="1" applyFill="1" applyBorder="1" applyAlignment="1">
      <alignment horizontal="center" vertical="center" wrapText="1"/>
    </xf>
    <xf numFmtId="0" fontId="47" fillId="2" borderId="9" xfId="0" applyFont="1" applyFill="1" applyBorder="1" applyAlignment="1">
      <alignment horizontal="center" vertical="center" wrapText="1"/>
    </xf>
    <xf numFmtId="0" fontId="47" fillId="2" borderId="6" xfId="0" applyFont="1" applyFill="1" applyBorder="1" applyAlignment="1">
      <alignment horizontal="left" vertical="center" wrapText="1"/>
    </xf>
    <xf numFmtId="0" fontId="47" fillId="2" borderId="9" xfId="0" applyFont="1" applyFill="1" applyBorder="1" applyAlignment="1">
      <alignment horizontal="left" vertical="center" wrapText="1"/>
    </xf>
    <xf numFmtId="0" fontId="32" fillId="2" borderId="6" xfId="0" applyFont="1" applyFill="1" applyBorder="1" applyAlignment="1">
      <alignment horizontal="center" vertical="top" wrapText="1"/>
    </xf>
    <xf numFmtId="0" fontId="32" fillId="2" borderId="9" xfId="0" applyFont="1" applyFill="1" applyBorder="1" applyAlignment="1">
      <alignment horizontal="center" vertical="top" wrapText="1"/>
    </xf>
    <xf numFmtId="0" fontId="47" fillId="5" borderId="6" xfId="0" applyFont="1" applyFill="1" applyBorder="1" applyAlignment="1">
      <alignment horizontal="center" vertical="center" wrapText="1"/>
    </xf>
    <xf numFmtId="0" fontId="47" fillId="5" borderId="9" xfId="0" applyFont="1" applyFill="1" applyBorder="1" applyAlignment="1">
      <alignment horizontal="center" vertical="center" wrapText="1"/>
    </xf>
    <xf numFmtId="0" fontId="47" fillId="6" borderId="6" xfId="0" applyFont="1" applyFill="1" applyBorder="1" applyAlignment="1">
      <alignment horizontal="center" vertical="center" wrapText="1"/>
    </xf>
    <xf numFmtId="0" fontId="47" fillId="6" borderId="9" xfId="0" applyFont="1" applyFill="1" applyBorder="1" applyAlignment="1">
      <alignment horizontal="center" vertical="center" wrapText="1"/>
    </xf>
    <xf numFmtId="0" fontId="33" fillId="2" borderId="3" xfId="0" applyFont="1" applyFill="1" applyBorder="1" applyAlignment="1">
      <alignment vertical="center" wrapText="1"/>
    </xf>
    <xf numFmtId="0" fontId="33" fillId="2" borderId="5" xfId="0" applyFont="1" applyFill="1" applyBorder="1" applyAlignment="1">
      <alignment vertical="center" wrapText="1"/>
    </xf>
    <xf numFmtId="0" fontId="33" fillId="2" borderId="42" xfId="0" applyFont="1" applyFill="1" applyBorder="1" applyAlignment="1">
      <alignment vertical="center" wrapText="1"/>
    </xf>
    <xf numFmtId="0" fontId="47" fillId="2" borderId="39" xfId="0" applyFont="1" applyFill="1" applyBorder="1" applyAlignment="1">
      <alignment horizontal="center" vertical="center" wrapText="1"/>
    </xf>
    <xf numFmtId="0" fontId="47" fillId="2" borderId="39" xfId="0" applyFont="1" applyFill="1" applyBorder="1" applyAlignment="1">
      <alignment horizontal="left" vertical="center" wrapText="1"/>
    </xf>
    <xf numFmtId="0" fontId="47" fillId="6" borderId="39" xfId="0" applyFont="1" applyFill="1" applyBorder="1" applyAlignment="1">
      <alignment horizontal="center" vertical="center" wrapText="1"/>
    </xf>
    <xf numFmtId="164" fontId="6" fillId="5" borderId="44" xfId="1" applyNumberFormat="1" applyFont="1" applyFill="1" applyBorder="1" applyAlignment="1">
      <alignment horizontal="left" vertical="top" wrapText="1"/>
    </xf>
    <xf numFmtId="164" fontId="6" fillId="5" borderId="43" xfId="1" applyNumberFormat="1" applyFont="1" applyFill="1" applyBorder="1" applyAlignment="1">
      <alignment horizontal="left" vertical="top" wrapText="1"/>
    </xf>
    <xf numFmtId="164" fontId="6" fillId="5" borderId="1" xfId="1" applyNumberFormat="1" applyFont="1" applyFill="1" applyBorder="1" applyAlignment="1">
      <alignment horizontal="left" vertical="center" wrapText="1"/>
    </xf>
    <xf numFmtId="164" fontId="6" fillId="5" borderId="3" xfId="1" applyNumberFormat="1" applyFont="1" applyFill="1" applyBorder="1" applyAlignment="1">
      <alignment horizontal="left" vertical="center" wrapText="1"/>
    </xf>
    <xf numFmtId="164" fontId="6" fillId="5" borderId="40" xfId="1" applyNumberFormat="1" applyFont="1" applyFill="1" applyBorder="1" applyAlignment="1">
      <alignment horizontal="left" vertical="center" wrapText="1"/>
    </xf>
    <xf numFmtId="164" fontId="6" fillId="5" borderId="42" xfId="1" applyNumberFormat="1" applyFont="1" applyFill="1" applyBorder="1" applyAlignment="1">
      <alignment horizontal="left" vertical="center" wrapText="1"/>
    </xf>
    <xf numFmtId="0" fontId="53" fillId="0" borderId="49" xfId="0" applyFont="1" applyBorder="1" applyAlignment="1">
      <alignment horizontal="center" vertical="center" wrapText="1"/>
    </xf>
    <xf numFmtId="0" fontId="53" fillId="0" borderId="17" xfId="0" applyFont="1" applyBorder="1" applyAlignment="1">
      <alignment horizontal="center" vertical="center" wrapText="1"/>
    </xf>
    <xf numFmtId="0" fontId="53" fillId="0" borderId="25" xfId="0" applyFont="1" applyBorder="1" applyAlignment="1">
      <alignment horizontal="center" vertical="center" wrapText="1"/>
    </xf>
    <xf numFmtId="0" fontId="53" fillId="0" borderId="49" xfId="0" applyFont="1" applyBorder="1" applyAlignment="1">
      <alignment horizontal="center" vertical="center"/>
    </xf>
    <xf numFmtId="0" fontId="53" fillId="0" borderId="17" xfId="0" applyFont="1" applyBorder="1" applyAlignment="1">
      <alignment horizontal="center" vertical="center"/>
    </xf>
    <xf numFmtId="0" fontId="53" fillId="0" borderId="25" xfId="0" applyFont="1" applyBorder="1" applyAlignment="1">
      <alignment horizontal="center" vertical="center"/>
    </xf>
    <xf numFmtId="164" fontId="39" fillId="2" borderId="1" xfId="1" applyNumberFormat="1" applyFont="1" applyFill="1" applyBorder="1" applyAlignment="1">
      <alignment horizontal="center" vertical="center" wrapText="1"/>
    </xf>
    <xf numFmtId="164" fontId="39" fillId="2" borderId="3" xfId="1" applyNumberFormat="1" applyFont="1" applyFill="1" applyBorder="1" applyAlignment="1">
      <alignment horizontal="center" vertical="center" wrapText="1"/>
    </xf>
    <xf numFmtId="49" fontId="126" fillId="11" borderId="90" xfId="3" applyNumberFormat="1" applyFont="1" applyFill="1" applyBorder="1" applyAlignment="1">
      <alignment horizontal="center" vertical="center" wrapText="1"/>
    </xf>
    <xf numFmtId="49" fontId="126" fillId="11" borderId="29" xfId="3" applyNumberFormat="1" applyFont="1" applyFill="1" applyBorder="1" applyAlignment="1">
      <alignment horizontal="center" vertical="center" wrapText="1"/>
    </xf>
    <xf numFmtId="0" fontId="39" fillId="10" borderId="1" xfId="0" applyFont="1" applyFill="1" applyBorder="1" applyAlignment="1">
      <alignment horizontal="center" vertical="center" wrapText="1"/>
    </xf>
    <xf numFmtId="0" fontId="39" fillId="10" borderId="6" xfId="0" applyFont="1" applyFill="1" applyBorder="1" applyAlignment="1">
      <alignment horizontal="center" vertical="center" wrapText="1"/>
    </xf>
    <xf numFmtId="0" fontId="39" fillId="10" borderId="9" xfId="0" applyFont="1" applyFill="1" applyBorder="1" applyAlignment="1">
      <alignment horizontal="center" vertical="center" wrapText="1"/>
    </xf>
    <xf numFmtId="0" fontId="39" fillId="10" borderId="1" xfId="0" applyFont="1" applyFill="1" applyBorder="1" applyAlignment="1">
      <alignment horizontal="center" wrapText="1"/>
    </xf>
    <xf numFmtId="0" fontId="39" fillId="10" borderId="3" xfId="0" applyFont="1" applyFill="1" applyBorder="1" applyAlignment="1">
      <alignment horizontal="center" wrapText="1"/>
    </xf>
    <xf numFmtId="0" fontId="39" fillId="10" borderId="49" xfId="0" applyFont="1" applyFill="1" applyBorder="1" applyAlignment="1">
      <alignment horizontal="center" wrapText="1"/>
    </xf>
    <xf numFmtId="0" fontId="39" fillId="10" borderId="13" xfId="0" applyFont="1" applyFill="1" applyBorder="1" applyAlignment="1">
      <alignment horizontal="center" wrapText="1"/>
    </xf>
    <xf numFmtId="0" fontId="39" fillId="10" borderId="53" xfId="0" applyFont="1" applyFill="1" applyBorder="1" applyAlignment="1">
      <alignment horizontal="center" wrapText="1"/>
    </xf>
    <xf numFmtId="0" fontId="30" fillId="6" borderId="1" xfId="0" applyFont="1" applyFill="1" applyBorder="1" applyAlignment="1">
      <alignment horizontal="center"/>
    </xf>
    <xf numFmtId="0" fontId="30" fillId="6" borderId="2" xfId="0" applyFont="1" applyFill="1" applyBorder="1" applyAlignment="1">
      <alignment horizontal="center"/>
    </xf>
    <xf numFmtId="0" fontId="30" fillId="6" borderId="3" xfId="0" applyFont="1" applyFill="1" applyBorder="1" applyAlignment="1">
      <alignment horizontal="center"/>
    </xf>
    <xf numFmtId="0" fontId="0" fillId="0" borderId="18" xfId="0" applyBorder="1" applyAlignment="1">
      <alignment horizontal="center"/>
    </xf>
    <xf numFmtId="0" fontId="126" fillId="11" borderId="0" xfId="0" applyFont="1" applyFill="1" applyAlignment="1">
      <alignment horizontal="center"/>
    </xf>
    <xf numFmtId="164" fontId="11" fillId="0" borderId="18" xfId="6" applyNumberFormat="1" applyFont="1" applyFill="1" applyBorder="1" applyAlignment="1">
      <alignment horizontal="left" vertical="center" wrapText="1"/>
    </xf>
    <xf numFmtId="164" fontId="17" fillId="2" borderId="18" xfId="6" applyNumberFormat="1" applyFont="1" applyFill="1" applyBorder="1" applyAlignment="1">
      <alignment horizontal="left" vertical="center" wrapText="1"/>
    </xf>
    <xf numFmtId="49" fontId="113" fillId="11" borderId="44" xfId="3" applyNumberFormat="1" applyFont="1" applyFill="1" applyBorder="1" applyAlignment="1">
      <alignment horizontal="center" vertical="center"/>
    </xf>
    <xf numFmtId="49" fontId="113" fillId="11" borderId="45" xfId="3" applyNumberFormat="1" applyFont="1" applyFill="1" applyBorder="1" applyAlignment="1">
      <alignment horizontal="center" vertical="center"/>
    </xf>
    <xf numFmtId="49" fontId="113" fillId="11" borderId="43" xfId="3" applyNumberFormat="1" applyFont="1" applyFill="1" applyBorder="1" applyAlignment="1">
      <alignment horizontal="center" vertical="center"/>
    </xf>
    <xf numFmtId="0" fontId="126" fillId="11" borderId="68" xfId="0" applyFont="1" applyFill="1" applyBorder="1" applyAlignment="1">
      <alignment horizontal="center" vertical="center" wrapText="1"/>
    </xf>
    <xf numFmtId="0" fontId="126" fillId="11" borderId="0" xfId="0" applyFont="1" applyFill="1" applyAlignment="1">
      <alignment horizontal="center" vertical="center" wrapText="1"/>
    </xf>
    <xf numFmtId="0" fontId="11" fillId="2" borderId="55"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7" fillId="23" borderId="68" xfId="0" applyFont="1" applyFill="1" applyBorder="1" applyAlignment="1">
      <alignment horizontal="left" vertical="center" wrapText="1"/>
    </xf>
    <xf numFmtId="0" fontId="7" fillId="23" borderId="0" xfId="0" applyFont="1" applyFill="1" applyAlignment="1">
      <alignment horizontal="left" vertical="center" wrapText="1"/>
    </xf>
    <xf numFmtId="0" fontId="127" fillId="11" borderId="1" xfId="0" applyFont="1" applyFill="1" applyBorder="1" applyAlignment="1">
      <alignment horizontal="center" vertical="center"/>
    </xf>
    <xf numFmtId="0" fontId="127" fillId="11" borderId="2" xfId="0" applyFont="1" applyFill="1" applyBorder="1" applyAlignment="1">
      <alignment horizontal="center" vertical="center"/>
    </xf>
    <xf numFmtId="0" fontId="127" fillId="11" borderId="3" xfId="0" applyFont="1" applyFill="1" applyBorder="1" applyAlignment="1">
      <alignment horizontal="center" vertical="center"/>
    </xf>
    <xf numFmtId="0" fontId="6" fillId="10" borderId="17" xfId="0" applyFont="1" applyFill="1" applyBorder="1" applyAlignment="1">
      <alignment horizontal="center" vertical="center"/>
    </xf>
    <xf numFmtId="0" fontId="6" fillId="10" borderId="18" xfId="0" applyFont="1" applyFill="1" applyBorder="1" applyAlignment="1">
      <alignment horizontal="center" vertical="center" wrapText="1"/>
    </xf>
    <xf numFmtId="0" fontId="6" fillId="10" borderId="18" xfId="0" applyFont="1" applyFill="1" applyBorder="1" applyAlignment="1">
      <alignment horizontal="center" vertical="center"/>
    </xf>
    <xf numFmtId="0" fontId="6" fillId="10" borderId="47" xfId="0" applyFont="1" applyFill="1" applyBorder="1" applyAlignment="1">
      <alignment horizontal="center" vertical="center"/>
    </xf>
    <xf numFmtId="0" fontId="6" fillId="10" borderId="47"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9" fillId="2" borderId="49"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9" fillId="2" borderId="67" xfId="0" applyFont="1" applyFill="1" applyBorder="1" applyAlignment="1">
      <alignment horizontal="center" vertical="center" wrapText="1"/>
    </xf>
  </cellXfs>
  <cellStyles count="8">
    <cellStyle name="Normal 2" xfId="5" xr:uid="{4010B373-D50B-4FF3-85D0-E6E138CAC38C}"/>
    <cellStyle name="Κανονικό" xfId="0" builtinId="0"/>
    <cellStyle name="Κανονικό 2" xfId="4" xr:uid="{3B7FEA00-DDAE-400F-ADA4-7F7690A7028B}"/>
    <cellStyle name="Κανονικό 3" xfId="3" xr:uid="{06B7AE27-E65B-45DF-8444-D4FFB03993F5}"/>
    <cellStyle name="Κόμμα" xfId="1" builtinId="3"/>
    <cellStyle name="Κόμμα 2" xfId="6" xr:uid="{676DF603-7D21-419B-A66D-87F36EF4507A}"/>
    <cellStyle name="Κόμμα 3" xfId="7" xr:uid="{67482752-084F-4D4D-B1A2-EFC0AC5F8D06}"/>
    <cellStyle name="Νομισματική μονάδα" xfId="2"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0CAD-7507-4E4F-9F61-DBFD1C73C700}">
  <dimension ref="A1:N71"/>
  <sheetViews>
    <sheetView topLeftCell="A31" workbookViewId="0">
      <selection activeCell="J36" sqref="J36"/>
    </sheetView>
  </sheetViews>
  <sheetFormatPr defaultColWidth="9.140625" defaultRowHeight="18" x14ac:dyDescent="0.35"/>
  <cols>
    <col min="1" max="1" width="9.140625" style="20"/>
    <col min="2" max="2" width="53.85546875" style="20" customWidth="1"/>
    <col min="3" max="3" width="18.28515625" style="3" customWidth="1"/>
    <col min="4" max="4" width="17.42578125" style="20" customWidth="1"/>
    <col min="5" max="5" width="12.5703125" style="61" customWidth="1"/>
    <col min="6" max="6" width="11.42578125" style="62" customWidth="1"/>
    <col min="7" max="7" width="13.7109375" style="63" customWidth="1"/>
    <col min="8" max="10" width="13.7109375" style="64" customWidth="1"/>
    <col min="11" max="11" width="20" style="20" bestFit="1" customWidth="1"/>
    <col min="12" max="12" width="41.5703125" style="20" bestFit="1" customWidth="1"/>
    <col min="13" max="13" width="20.28515625" style="65" bestFit="1" customWidth="1"/>
    <col min="14" max="16384" width="9.140625" style="20"/>
  </cols>
  <sheetData>
    <row r="1" spans="1:14" s="1" customFormat="1" ht="44.25" customHeight="1" thickBot="1" x14ac:dyDescent="0.35">
      <c r="A1" s="1228" t="s">
        <v>0</v>
      </c>
      <c r="B1" s="1229"/>
      <c r="C1" s="1229"/>
      <c r="D1" s="1229"/>
      <c r="E1" s="1229"/>
      <c r="F1" s="1229"/>
      <c r="G1" s="1229"/>
      <c r="H1" s="1229"/>
      <c r="I1" s="1229"/>
      <c r="J1" s="1229"/>
      <c r="K1" s="1229"/>
      <c r="L1" s="1229"/>
      <c r="M1" s="1230"/>
    </row>
    <row r="2" spans="1:14" s="3" customFormat="1" ht="25.5" customHeight="1" thickBot="1" x14ac:dyDescent="0.35">
      <c r="A2" s="1231" t="s">
        <v>1</v>
      </c>
      <c r="B2" s="1233" t="s">
        <v>2</v>
      </c>
      <c r="C2" s="1233" t="s">
        <v>3</v>
      </c>
      <c r="D2" s="1235" t="s">
        <v>4</v>
      </c>
      <c r="E2" s="1235" t="s">
        <v>5</v>
      </c>
      <c r="F2" s="1235"/>
      <c r="G2" s="1236" t="s">
        <v>6</v>
      </c>
      <c r="H2" s="1236"/>
      <c r="I2" s="1236" t="s">
        <v>7</v>
      </c>
      <c r="J2" s="1236"/>
      <c r="K2" s="1235" t="s">
        <v>8</v>
      </c>
      <c r="L2" s="1235" t="s">
        <v>9</v>
      </c>
      <c r="M2" s="1235" t="s">
        <v>10</v>
      </c>
      <c r="N2" s="2"/>
    </row>
    <row r="3" spans="1:14" s="4" customFormat="1" ht="57.75" customHeight="1" thickBot="1" x14ac:dyDescent="0.35">
      <c r="A3" s="1232"/>
      <c r="B3" s="1234"/>
      <c r="C3" s="1234" t="s">
        <v>3</v>
      </c>
      <c r="D3" s="1235" t="s">
        <v>4</v>
      </c>
      <c r="E3" s="950" t="s">
        <v>11</v>
      </c>
      <c r="F3" s="950" t="s">
        <v>92</v>
      </c>
      <c r="G3" s="951" t="s">
        <v>12</v>
      </c>
      <c r="H3" s="951" t="s">
        <v>13</v>
      </c>
      <c r="I3" s="951" t="s">
        <v>12</v>
      </c>
      <c r="J3" s="951" t="s">
        <v>13</v>
      </c>
      <c r="K3" s="1235" t="s">
        <v>8</v>
      </c>
      <c r="L3" s="1235" t="s">
        <v>9</v>
      </c>
      <c r="M3" s="1235" t="s">
        <v>10</v>
      </c>
    </row>
    <row r="4" spans="1:14" s="13" customFormat="1" ht="57" customHeight="1" x14ac:dyDescent="0.3">
      <c r="A4" s="5">
        <v>1</v>
      </c>
      <c r="B4" s="6" t="s">
        <v>14</v>
      </c>
      <c r="C4" s="7" t="s">
        <v>15</v>
      </c>
      <c r="D4" s="8">
        <v>1.5</v>
      </c>
      <c r="E4" s="9" t="s">
        <v>16</v>
      </c>
      <c r="F4" s="9"/>
      <c r="G4" s="1237">
        <v>610</v>
      </c>
      <c r="H4" s="1238"/>
      <c r="I4" s="1239">
        <v>580</v>
      </c>
      <c r="J4" s="1240"/>
      <c r="K4" s="10" t="s">
        <v>17</v>
      </c>
      <c r="L4" s="11"/>
      <c r="M4" s="12">
        <v>46054</v>
      </c>
      <c r="N4" s="1"/>
    </row>
    <row r="5" spans="1:14" ht="54" x14ac:dyDescent="0.3">
      <c r="A5" s="14">
        <v>2</v>
      </c>
      <c r="B5" s="15" t="s">
        <v>18</v>
      </c>
      <c r="C5" s="16" t="s">
        <v>19</v>
      </c>
      <c r="D5" s="17">
        <v>1</v>
      </c>
      <c r="E5" s="17">
        <v>1</v>
      </c>
      <c r="F5" s="17"/>
      <c r="G5" s="18"/>
      <c r="H5" s="956">
        <v>860.56</v>
      </c>
      <c r="I5" s="18"/>
      <c r="J5" s="952">
        <v>860.56</v>
      </c>
      <c r="K5" s="10" t="s">
        <v>17</v>
      </c>
      <c r="L5" s="10" t="s">
        <v>20</v>
      </c>
      <c r="M5" s="19">
        <v>44977</v>
      </c>
    </row>
    <row r="6" spans="1:14" ht="54" x14ac:dyDescent="0.3">
      <c r="A6" s="14">
        <v>3</v>
      </c>
      <c r="B6" s="15" t="s">
        <v>21</v>
      </c>
      <c r="C6" s="16" t="s">
        <v>19</v>
      </c>
      <c r="D6" s="17">
        <v>1</v>
      </c>
      <c r="E6" s="17">
        <v>1</v>
      </c>
      <c r="F6" s="17"/>
      <c r="G6" s="21"/>
      <c r="H6" s="957">
        <v>860.56</v>
      </c>
      <c r="I6" s="21"/>
      <c r="J6" s="953">
        <v>860.56</v>
      </c>
      <c r="K6" s="10" t="s">
        <v>17</v>
      </c>
      <c r="L6" s="10" t="s">
        <v>20</v>
      </c>
      <c r="M6" s="19">
        <v>44977</v>
      </c>
    </row>
    <row r="7" spans="1:14" ht="54" x14ac:dyDescent="0.3">
      <c r="A7" s="14">
        <v>4</v>
      </c>
      <c r="B7" s="15" t="s">
        <v>22</v>
      </c>
      <c r="C7" s="16" t="s">
        <v>19</v>
      </c>
      <c r="D7" s="17">
        <v>1</v>
      </c>
      <c r="E7" s="17">
        <v>1</v>
      </c>
      <c r="F7" s="17"/>
      <c r="G7" s="21"/>
      <c r="H7" s="957">
        <v>860.56</v>
      </c>
      <c r="I7" s="21"/>
      <c r="J7" s="953">
        <v>860.56</v>
      </c>
      <c r="K7" s="10" t="s">
        <v>17</v>
      </c>
      <c r="L7" s="10" t="s">
        <v>20</v>
      </c>
      <c r="M7" s="19">
        <v>44977</v>
      </c>
    </row>
    <row r="8" spans="1:14" ht="54" x14ac:dyDescent="0.3">
      <c r="A8" s="14">
        <v>5</v>
      </c>
      <c r="B8" s="15" t="s">
        <v>23</v>
      </c>
      <c r="C8" s="16" t="s">
        <v>19</v>
      </c>
      <c r="D8" s="17">
        <v>1</v>
      </c>
      <c r="E8" s="17">
        <v>1</v>
      </c>
      <c r="F8" s="17"/>
      <c r="G8" s="21"/>
      <c r="H8" s="957">
        <v>860.56</v>
      </c>
      <c r="I8" s="21"/>
      <c r="J8" s="953">
        <v>860.56</v>
      </c>
      <c r="K8" s="10" t="s">
        <v>17</v>
      </c>
      <c r="L8" s="10" t="s">
        <v>20</v>
      </c>
      <c r="M8" s="19">
        <v>44977</v>
      </c>
    </row>
    <row r="9" spans="1:14" ht="54" x14ac:dyDescent="0.3">
      <c r="A9" s="14">
        <v>6</v>
      </c>
      <c r="B9" s="22" t="s">
        <v>24</v>
      </c>
      <c r="C9" s="16" t="s">
        <v>19</v>
      </c>
      <c r="D9" s="17">
        <v>2</v>
      </c>
      <c r="E9" s="23">
        <v>1</v>
      </c>
      <c r="F9" s="23">
        <v>1</v>
      </c>
      <c r="G9" s="21"/>
      <c r="H9" s="957">
        <v>1691.36</v>
      </c>
      <c r="I9" s="21"/>
      <c r="J9" s="953">
        <v>1691.36</v>
      </c>
      <c r="K9" s="10" t="s">
        <v>17</v>
      </c>
      <c r="L9" s="10" t="s">
        <v>20</v>
      </c>
      <c r="M9" s="19">
        <v>44977</v>
      </c>
    </row>
    <row r="10" spans="1:14" ht="54" x14ac:dyDescent="0.3">
      <c r="A10" s="14">
        <v>7</v>
      </c>
      <c r="B10" s="22" t="s">
        <v>25</v>
      </c>
      <c r="C10" s="16" t="s">
        <v>19</v>
      </c>
      <c r="D10" s="17">
        <v>1</v>
      </c>
      <c r="E10" s="23">
        <v>1</v>
      </c>
      <c r="F10" s="23"/>
      <c r="G10" s="21"/>
      <c r="H10" s="957">
        <v>860.56</v>
      </c>
      <c r="I10" s="21"/>
      <c r="J10" s="953">
        <v>860.56</v>
      </c>
      <c r="K10" s="10" t="s">
        <v>17</v>
      </c>
      <c r="L10" s="10" t="s">
        <v>20</v>
      </c>
      <c r="M10" s="19">
        <v>44977</v>
      </c>
    </row>
    <row r="11" spans="1:14" ht="54" x14ac:dyDescent="0.3">
      <c r="A11" s="14">
        <v>8</v>
      </c>
      <c r="B11" s="22" t="s">
        <v>26</v>
      </c>
      <c r="C11" s="16" t="s">
        <v>19</v>
      </c>
      <c r="D11" s="17">
        <v>1</v>
      </c>
      <c r="E11" s="23">
        <v>1</v>
      </c>
      <c r="F11" s="23"/>
      <c r="G11" s="21"/>
      <c r="H11" s="957">
        <v>860.56</v>
      </c>
      <c r="I11" s="21"/>
      <c r="J11" s="953">
        <v>860.56</v>
      </c>
      <c r="K11" s="10" t="s">
        <v>17</v>
      </c>
      <c r="L11" s="10" t="s">
        <v>20</v>
      </c>
      <c r="M11" s="19">
        <v>44977</v>
      </c>
    </row>
    <row r="12" spans="1:14" ht="54" x14ac:dyDescent="0.3">
      <c r="A12" s="14">
        <v>9</v>
      </c>
      <c r="B12" s="15" t="s">
        <v>27</v>
      </c>
      <c r="C12" s="16" t="s">
        <v>19</v>
      </c>
      <c r="D12" s="17">
        <v>1</v>
      </c>
      <c r="E12" s="23" t="s">
        <v>16</v>
      </c>
      <c r="F12" s="23"/>
      <c r="G12" s="24"/>
      <c r="H12" s="21"/>
      <c r="I12" s="1220">
        <v>409</v>
      </c>
      <c r="J12" s="1227"/>
      <c r="K12" s="10" t="s">
        <v>17</v>
      </c>
      <c r="L12" s="10" t="s">
        <v>28</v>
      </c>
      <c r="M12" s="19">
        <v>44977</v>
      </c>
    </row>
    <row r="13" spans="1:14" ht="54" x14ac:dyDescent="0.3">
      <c r="A13" s="14">
        <v>10</v>
      </c>
      <c r="B13" s="25" t="s">
        <v>29</v>
      </c>
      <c r="C13" s="16" t="s">
        <v>19</v>
      </c>
      <c r="D13" s="17">
        <v>1</v>
      </c>
      <c r="E13" s="23" t="s">
        <v>16</v>
      </c>
      <c r="F13" s="23"/>
      <c r="G13" s="24"/>
      <c r="H13" s="21"/>
      <c r="I13" s="1220">
        <v>409</v>
      </c>
      <c r="J13" s="1227"/>
      <c r="K13" s="10" t="s">
        <v>17</v>
      </c>
      <c r="L13" s="10" t="s">
        <v>28</v>
      </c>
      <c r="M13" s="19">
        <v>44977</v>
      </c>
    </row>
    <row r="14" spans="1:14" ht="54" x14ac:dyDescent="0.3">
      <c r="A14" s="14">
        <v>11</v>
      </c>
      <c r="B14" s="15" t="s">
        <v>30</v>
      </c>
      <c r="C14" s="16" t="s">
        <v>19</v>
      </c>
      <c r="D14" s="17">
        <v>1</v>
      </c>
      <c r="E14" s="17">
        <v>1</v>
      </c>
      <c r="F14" s="17"/>
      <c r="G14" s="18"/>
      <c r="H14" s="956">
        <v>860.56</v>
      </c>
      <c r="I14" s="18"/>
      <c r="J14" s="952">
        <v>860.56</v>
      </c>
      <c r="K14" s="10" t="s">
        <v>17</v>
      </c>
      <c r="L14" s="10" t="s">
        <v>20</v>
      </c>
      <c r="M14" s="19">
        <v>44977</v>
      </c>
    </row>
    <row r="15" spans="1:14" ht="54" x14ac:dyDescent="0.3">
      <c r="A15" s="14">
        <v>12</v>
      </c>
      <c r="B15" s="15" t="s">
        <v>31</v>
      </c>
      <c r="C15" s="16" t="s">
        <v>19</v>
      </c>
      <c r="D15" s="17">
        <v>1</v>
      </c>
      <c r="E15" s="17">
        <v>1</v>
      </c>
      <c r="F15" s="17"/>
      <c r="G15" s="21"/>
      <c r="H15" s="957">
        <v>860.56</v>
      </c>
      <c r="I15" s="21"/>
      <c r="J15" s="953">
        <v>860.56</v>
      </c>
      <c r="K15" s="10" t="s">
        <v>17</v>
      </c>
      <c r="L15" s="10" t="s">
        <v>20</v>
      </c>
      <c r="M15" s="19">
        <v>44977</v>
      </c>
    </row>
    <row r="16" spans="1:14" ht="36" x14ac:dyDescent="0.3">
      <c r="A16" s="14">
        <v>13</v>
      </c>
      <c r="B16" s="26" t="s">
        <v>32</v>
      </c>
      <c r="C16" s="27" t="s">
        <v>33</v>
      </c>
      <c r="D16" s="28"/>
      <c r="E16" s="29">
        <v>5</v>
      </c>
      <c r="F16" s="29">
        <v>1</v>
      </c>
      <c r="G16" s="30">
        <f>H16-(E16*160)</f>
        <v>3996</v>
      </c>
      <c r="H16" s="958">
        <f>3700*1.08+5*160</f>
        <v>4796</v>
      </c>
      <c r="I16" s="31">
        <f t="shared" ref="I16:I21" si="0">J16-(E16*160)</f>
        <v>3672</v>
      </c>
      <c r="J16" s="954">
        <f>3400*1.08+5*160</f>
        <v>4472</v>
      </c>
      <c r="K16" s="10" t="s">
        <v>34</v>
      </c>
      <c r="L16" s="10"/>
      <c r="M16" s="19">
        <v>46054</v>
      </c>
    </row>
    <row r="17" spans="1:13" x14ac:dyDescent="0.3">
      <c r="A17" s="14">
        <v>14</v>
      </c>
      <c r="B17" s="32" t="s">
        <v>35</v>
      </c>
      <c r="C17" s="27" t="s">
        <v>33</v>
      </c>
      <c r="D17" s="28"/>
      <c r="E17" s="33">
        <v>5</v>
      </c>
      <c r="F17" s="33"/>
      <c r="G17" s="30">
        <f t="shared" ref="G17:G24" si="1">H17-(E17*160)</f>
        <v>3121.2000000000003</v>
      </c>
      <c r="H17" s="958">
        <f>2890*1.08+5*160</f>
        <v>3921.2000000000003</v>
      </c>
      <c r="I17" s="31">
        <f t="shared" si="0"/>
        <v>2678.4</v>
      </c>
      <c r="J17" s="954">
        <f>2480*1.08+160*5</f>
        <v>3478.4</v>
      </c>
      <c r="K17" s="10" t="s">
        <v>34</v>
      </c>
      <c r="L17" s="10"/>
      <c r="M17" s="19">
        <v>46054</v>
      </c>
    </row>
    <row r="18" spans="1:13" ht="36" x14ac:dyDescent="0.3">
      <c r="A18" s="14">
        <v>15</v>
      </c>
      <c r="B18" s="26" t="s">
        <v>36</v>
      </c>
      <c r="C18" s="27" t="s">
        <v>37</v>
      </c>
      <c r="D18" s="28"/>
      <c r="E18" s="33">
        <v>3</v>
      </c>
      <c r="F18" s="33"/>
      <c r="G18" s="30">
        <f t="shared" si="1"/>
        <v>1512</v>
      </c>
      <c r="H18" s="958">
        <f>1400*1.08+3*160</f>
        <v>1992</v>
      </c>
      <c r="I18" s="31">
        <f t="shared" si="0"/>
        <v>1296</v>
      </c>
      <c r="J18" s="954">
        <f>1200*1.08+3*160</f>
        <v>1776</v>
      </c>
      <c r="K18" s="10" t="s">
        <v>34</v>
      </c>
      <c r="L18" s="10"/>
      <c r="M18" s="19">
        <v>46054</v>
      </c>
    </row>
    <row r="19" spans="1:13" x14ac:dyDescent="0.3">
      <c r="A19" s="14">
        <v>16</v>
      </c>
      <c r="B19" s="34" t="s">
        <v>38</v>
      </c>
      <c r="C19" s="27" t="s">
        <v>37</v>
      </c>
      <c r="D19" s="28"/>
      <c r="E19" s="33">
        <v>3</v>
      </c>
      <c r="F19" s="33"/>
      <c r="G19" s="30">
        <f t="shared" si="1"/>
        <v>1512</v>
      </c>
      <c r="H19" s="958">
        <f>1400*1.08+160*3</f>
        <v>1992</v>
      </c>
      <c r="I19" s="31">
        <f t="shared" si="0"/>
        <v>1296</v>
      </c>
      <c r="J19" s="954">
        <f>1200*1.08+160*3</f>
        <v>1776</v>
      </c>
      <c r="K19" s="10" t="s">
        <v>34</v>
      </c>
      <c r="L19" s="10"/>
      <c r="M19" s="19">
        <v>46054</v>
      </c>
    </row>
    <row r="20" spans="1:13" ht="36" x14ac:dyDescent="0.3">
      <c r="A20" s="14">
        <v>17</v>
      </c>
      <c r="B20" s="32" t="s">
        <v>39</v>
      </c>
      <c r="C20" s="27" t="s">
        <v>33</v>
      </c>
      <c r="D20" s="28"/>
      <c r="E20" s="33">
        <v>3</v>
      </c>
      <c r="F20" s="33">
        <v>1</v>
      </c>
      <c r="G20" s="30">
        <f t="shared" si="1"/>
        <v>3240</v>
      </c>
      <c r="H20" s="958">
        <f>3000*1.08+3*160</f>
        <v>3720</v>
      </c>
      <c r="I20" s="31">
        <f t="shared" si="0"/>
        <v>2970</v>
      </c>
      <c r="J20" s="954">
        <f>2750*1.08+3*160</f>
        <v>3450</v>
      </c>
      <c r="K20" s="10" t="s">
        <v>34</v>
      </c>
      <c r="L20" s="10"/>
      <c r="M20" s="19">
        <v>46054</v>
      </c>
    </row>
    <row r="21" spans="1:13" ht="36" x14ac:dyDescent="0.3">
      <c r="A21" s="14">
        <v>18</v>
      </c>
      <c r="B21" s="32" t="s">
        <v>40</v>
      </c>
      <c r="C21" s="27" t="s">
        <v>41</v>
      </c>
      <c r="D21" s="28"/>
      <c r="E21" s="33">
        <v>2</v>
      </c>
      <c r="F21" s="33"/>
      <c r="G21" s="30">
        <f t="shared" si="1"/>
        <v>1566</v>
      </c>
      <c r="H21" s="958">
        <f>1450*1.08+2*160</f>
        <v>1886</v>
      </c>
      <c r="I21" s="31">
        <f t="shared" si="0"/>
        <v>1134</v>
      </c>
      <c r="J21" s="954">
        <f>1050*1.08+160*2</f>
        <v>1454</v>
      </c>
      <c r="K21" s="10" t="s">
        <v>34</v>
      </c>
      <c r="L21" s="10"/>
      <c r="M21" s="19">
        <v>46054</v>
      </c>
    </row>
    <row r="22" spans="1:13" ht="72" x14ac:dyDescent="0.3">
      <c r="A22" s="14">
        <v>19</v>
      </c>
      <c r="B22" s="15" t="s">
        <v>42</v>
      </c>
      <c r="C22" s="17" t="s">
        <v>15</v>
      </c>
      <c r="D22" s="17">
        <v>1.5</v>
      </c>
      <c r="E22" s="17">
        <v>1</v>
      </c>
      <c r="F22" s="17"/>
      <c r="G22" s="21"/>
      <c r="H22" s="957">
        <v>1096</v>
      </c>
      <c r="I22" s="21"/>
      <c r="J22" s="953">
        <v>1096</v>
      </c>
      <c r="K22" s="10" t="s">
        <v>17</v>
      </c>
      <c r="L22" s="10" t="s">
        <v>43</v>
      </c>
      <c r="M22" s="19">
        <v>44977</v>
      </c>
    </row>
    <row r="23" spans="1:13" x14ac:dyDescent="0.3">
      <c r="A23" s="14">
        <v>20</v>
      </c>
      <c r="B23" s="34" t="s">
        <v>44</v>
      </c>
      <c r="C23" s="27" t="s">
        <v>41</v>
      </c>
      <c r="D23" s="28"/>
      <c r="E23" s="33">
        <v>2</v>
      </c>
      <c r="F23" s="33"/>
      <c r="G23" s="30">
        <f t="shared" si="1"/>
        <v>1134</v>
      </c>
      <c r="H23" s="958">
        <f>1050*1.08+2*160</f>
        <v>1454</v>
      </c>
      <c r="I23" s="31">
        <f>J23-(E23*160)</f>
        <v>972</v>
      </c>
      <c r="J23" s="954">
        <f>900*1.08+2*160</f>
        <v>1292</v>
      </c>
      <c r="K23" s="10" t="s">
        <v>34</v>
      </c>
      <c r="L23" s="10"/>
      <c r="M23" s="19">
        <v>46054</v>
      </c>
    </row>
    <row r="24" spans="1:13" x14ac:dyDescent="0.3">
      <c r="A24" s="14">
        <v>21</v>
      </c>
      <c r="B24" s="32" t="s">
        <v>45</v>
      </c>
      <c r="C24" s="27" t="s">
        <v>41</v>
      </c>
      <c r="D24" s="28"/>
      <c r="E24" s="33">
        <v>2</v>
      </c>
      <c r="F24" s="33"/>
      <c r="G24" s="30">
        <f t="shared" si="1"/>
        <v>1004.4000000000001</v>
      </c>
      <c r="H24" s="958">
        <f>930*1.08+160*2</f>
        <v>1324.4</v>
      </c>
      <c r="I24" s="31">
        <f>J24-(E24*160)</f>
        <v>853.2</v>
      </c>
      <c r="J24" s="954">
        <f>790*1.08+160*2</f>
        <v>1173.2</v>
      </c>
      <c r="K24" s="10" t="s">
        <v>34</v>
      </c>
      <c r="L24" s="10"/>
      <c r="M24" s="19">
        <v>46054</v>
      </c>
    </row>
    <row r="25" spans="1:13" ht="54" x14ac:dyDescent="0.3">
      <c r="A25" s="14">
        <v>22</v>
      </c>
      <c r="B25" s="15" t="s">
        <v>46</v>
      </c>
      <c r="C25" s="16" t="s">
        <v>19</v>
      </c>
      <c r="D25" s="17">
        <v>1</v>
      </c>
      <c r="E25" s="23">
        <v>2</v>
      </c>
      <c r="F25" s="23"/>
      <c r="G25" s="35"/>
      <c r="H25" s="957">
        <v>1356.56</v>
      </c>
      <c r="I25" s="21"/>
      <c r="J25" s="953">
        <v>1356.56</v>
      </c>
      <c r="K25" s="10" t="s">
        <v>17</v>
      </c>
      <c r="L25" s="10" t="s">
        <v>28</v>
      </c>
      <c r="M25" s="19">
        <v>44977</v>
      </c>
    </row>
    <row r="26" spans="1:13" ht="54" x14ac:dyDescent="0.3">
      <c r="A26" s="14">
        <v>23</v>
      </c>
      <c r="B26" s="15" t="s">
        <v>47</v>
      </c>
      <c r="C26" s="16" t="s">
        <v>19</v>
      </c>
      <c r="D26" s="17">
        <v>2</v>
      </c>
      <c r="E26" s="17">
        <v>2</v>
      </c>
      <c r="F26" s="17">
        <v>1</v>
      </c>
      <c r="G26" s="36"/>
      <c r="H26" s="957">
        <v>2187.36</v>
      </c>
      <c r="I26" s="21"/>
      <c r="J26" s="953">
        <v>2187.36</v>
      </c>
      <c r="K26" s="10" t="s">
        <v>17</v>
      </c>
      <c r="L26" s="10" t="s">
        <v>20</v>
      </c>
      <c r="M26" s="19">
        <v>44977</v>
      </c>
    </row>
    <row r="27" spans="1:13" ht="90" x14ac:dyDescent="0.3">
      <c r="A27" s="14">
        <v>24</v>
      </c>
      <c r="B27" s="15" t="s">
        <v>48</v>
      </c>
      <c r="C27" s="16" t="s">
        <v>19</v>
      </c>
      <c r="D27" s="17">
        <v>3</v>
      </c>
      <c r="E27" s="17">
        <v>2</v>
      </c>
      <c r="F27" s="17">
        <v>1</v>
      </c>
      <c r="G27" s="36"/>
      <c r="H27" s="957">
        <v>2187.36</v>
      </c>
      <c r="I27" s="21"/>
      <c r="J27" s="953">
        <v>2187.36</v>
      </c>
      <c r="K27" s="10" t="s">
        <v>17</v>
      </c>
      <c r="L27" s="10" t="s">
        <v>49</v>
      </c>
      <c r="M27" s="19">
        <v>44977</v>
      </c>
    </row>
    <row r="28" spans="1:13" ht="54" x14ac:dyDescent="0.3">
      <c r="A28" s="14">
        <v>25</v>
      </c>
      <c r="B28" s="15" t="s">
        <v>50</v>
      </c>
      <c r="C28" s="16" t="s">
        <v>19</v>
      </c>
      <c r="D28" s="17">
        <v>2</v>
      </c>
      <c r="E28" s="17">
        <v>2</v>
      </c>
      <c r="F28" s="17">
        <v>1</v>
      </c>
      <c r="G28" s="36"/>
      <c r="H28" s="957">
        <v>2187.36</v>
      </c>
      <c r="I28" s="21"/>
      <c r="J28" s="953">
        <v>2187.36</v>
      </c>
      <c r="K28" s="10" t="s">
        <v>17</v>
      </c>
      <c r="L28" s="10" t="s">
        <v>20</v>
      </c>
      <c r="M28" s="19">
        <v>44977</v>
      </c>
    </row>
    <row r="29" spans="1:13" ht="54" x14ac:dyDescent="0.3">
      <c r="A29" s="14">
        <v>26</v>
      </c>
      <c r="B29" s="15" t="s">
        <v>51</v>
      </c>
      <c r="C29" s="16" t="s">
        <v>19</v>
      </c>
      <c r="D29" s="17">
        <v>2</v>
      </c>
      <c r="E29" s="17">
        <v>3</v>
      </c>
      <c r="F29" s="17">
        <v>1</v>
      </c>
      <c r="G29" s="36"/>
      <c r="H29" s="957">
        <v>2683.36</v>
      </c>
      <c r="I29" s="21"/>
      <c r="J29" s="953">
        <v>2683.36</v>
      </c>
      <c r="K29" s="10" t="s">
        <v>17</v>
      </c>
      <c r="L29" s="10" t="s">
        <v>49</v>
      </c>
      <c r="M29" s="19">
        <v>44977</v>
      </c>
    </row>
    <row r="30" spans="1:13" ht="54" x14ac:dyDescent="0.3">
      <c r="A30" s="14">
        <v>27</v>
      </c>
      <c r="B30" s="15" t="s">
        <v>52</v>
      </c>
      <c r="C30" s="16" t="s">
        <v>19</v>
      </c>
      <c r="D30" s="17">
        <v>1</v>
      </c>
      <c r="E30" s="17">
        <v>1</v>
      </c>
      <c r="F30" s="17"/>
      <c r="G30" s="36"/>
      <c r="H30" s="957">
        <v>860.56</v>
      </c>
      <c r="I30" s="21"/>
      <c r="J30" s="953">
        <v>860.56</v>
      </c>
      <c r="K30" s="10" t="s">
        <v>17</v>
      </c>
      <c r="L30" s="10" t="s">
        <v>20</v>
      </c>
      <c r="M30" s="19">
        <v>44977</v>
      </c>
    </row>
    <row r="31" spans="1:13" s="1" customFormat="1" ht="93" x14ac:dyDescent="0.3">
      <c r="A31" s="5">
        <v>28</v>
      </c>
      <c r="B31" s="37" t="s">
        <v>53</v>
      </c>
      <c r="C31" s="38" t="s">
        <v>54</v>
      </c>
      <c r="D31" s="38">
        <v>3</v>
      </c>
      <c r="E31" s="38">
        <v>2</v>
      </c>
      <c r="F31" s="38">
        <v>1</v>
      </c>
      <c r="G31" s="39"/>
      <c r="H31" s="958"/>
      <c r="I31" s="31"/>
      <c r="J31" s="955" t="s">
        <v>55</v>
      </c>
      <c r="K31" s="10" t="s">
        <v>56</v>
      </c>
      <c r="L31" s="40" t="s">
        <v>93</v>
      </c>
      <c r="M31" s="19">
        <v>44977</v>
      </c>
    </row>
    <row r="32" spans="1:13" ht="36" x14ac:dyDescent="0.3">
      <c r="A32" s="14">
        <v>29</v>
      </c>
      <c r="B32" s="32" t="s">
        <v>57</v>
      </c>
      <c r="C32" s="27" t="s">
        <v>33</v>
      </c>
      <c r="D32" s="28"/>
      <c r="E32" s="33">
        <v>3</v>
      </c>
      <c r="F32" s="33">
        <v>1</v>
      </c>
      <c r="G32" s="41">
        <f>H32-(E32*160)</f>
        <v>3240</v>
      </c>
      <c r="H32" s="958">
        <f>3000*1.08+3*160</f>
        <v>3720</v>
      </c>
      <c r="I32" s="31">
        <f>J32-(E32*160)</f>
        <v>2970</v>
      </c>
      <c r="J32" s="954">
        <f>2750*1.08+3*160</f>
        <v>3450</v>
      </c>
      <c r="K32" s="10" t="s">
        <v>34</v>
      </c>
      <c r="L32" s="10"/>
      <c r="M32" s="19">
        <v>46054</v>
      </c>
    </row>
    <row r="33" spans="1:13" ht="36" x14ac:dyDescent="0.3">
      <c r="A33" s="14">
        <v>30</v>
      </c>
      <c r="B33" s="32" t="s">
        <v>58</v>
      </c>
      <c r="C33" s="27" t="s">
        <v>33</v>
      </c>
      <c r="D33" s="28"/>
      <c r="E33" s="33">
        <v>2</v>
      </c>
      <c r="F33" s="33">
        <v>1</v>
      </c>
      <c r="G33" s="41">
        <f>1750*1.08+160</f>
        <v>2050</v>
      </c>
      <c r="H33" s="958">
        <f>G33+(E33*160)</f>
        <v>2370</v>
      </c>
      <c r="I33" s="31">
        <f>1500*1.08+160</f>
        <v>1780</v>
      </c>
      <c r="J33" s="954">
        <f>I33+160+160</f>
        <v>2100</v>
      </c>
      <c r="K33" s="10" t="s">
        <v>34</v>
      </c>
      <c r="L33" s="10"/>
      <c r="M33" s="19">
        <v>46054</v>
      </c>
    </row>
    <row r="34" spans="1:13" ht="54" x14ac:dyDescent="0.3">
      <c r="A34" s="14">
        <v>31</v>
      </c>
      <c r="B34" s="15" t="s">
        <v>59</v>
      </c>
      <c r="C34" s="16" t="s">
        <v>19</v>
      </c>
      <c r="D34" s="17">
        <v>1</v>
      </c>
      <c r="E34" s="23" t="s">
        <v>16</v>
      </c>
      <c r="F34" s="23"/>
      <c r="G34" s="24"/>
      <c r="H34" s="957"/>
      <c r="I34" s="1220">
        <v>551</v>
      </c>
      <c r="J34" s="1227"/>
      <c r="K34" s="10" t="s">
        <v>17</v>
      </c>
      <c r="L34" s="10" t="s">
        <v>28</v>
      </c>
      <c r="M34" s="19">
        <v>44977</v>
      </c>
    </row>
    <row r="35" spans="1:13" ht="36" x14ac:dyDescent="0.3">
      <c r="A35" s="5">
        <v>32</v>
      </c>
      <c r="B35" s="42" t="s">
        <v>60</v>
      </c>
      <c r="C35" s="43" t="s">
        <v>61</v>
      </c>
      <c r="D35" s="44">
        <v>2</v>
      </c>
      <c r="E35" s="45" t="s">
        <v>62</v>
      </c>
      <c r="F35" s="45"/>
      <c r="G35" s="46">
        <v>750</v>
      </c>
      <c r="H35" s="958">
        <f>G35+160</f>
        <v>910</v>
      </c>
      <c r="I35" s="46" t="s">
        <v>63</v>
      </c>
      <c r="J35" s="47" t="s">
        <v>63</v>
      </c>
      <c r="K35" s="10" t="s">
        <v>34</v>
      </c>
      <c r="L35" s="10"/>
      <c r="M35" s="19">
        <v>46054</v>
      </c>
    </row>
    <row r="36" spans="1:13" ht="36" x14ac:dyDescent="0.3">
      <c r="A36" s="14">
        <v>33</v>
      </c>
      <c r="B36" s="15" t="s">
        <v>64</v>
      </c>
      <c r="C36" s="16" t="s">
        <v>94</v>
      </c>
      <c r="D36" s="17">
        <v>2</v>
      </c>
      <c r="E36" s="48" t="s">
        <v>62</v>
      </c>
      <c r="F36" s="48"/>
      <c r="G36" s="24"/>
      <c r="H36" s="957"/>
      <c r="I36" s="21"/>
      <c r="J36" s="953">
        <v>926</v>
      </c>
      <c r="K36" s="10"/>
      <c r="L36" s="49" t="s">
        <v>65</v>
      </c>
      <c r="M36" s="19">
        <v>44977</v>
      </c>
    </row>
    <row r="37" spans="1:13" ht="36" x14ac:dyDescent="0.3">
      <c r="A37" s="14">
        <v>34</v>
      </c>
      <c r="B37" s="15" t="s">
        <v>64</v>
      </c>
      <c r="C37" s="16" t="s">
        <v>94</v>
      </c>
      <c r="D37" s="17">
        <v>2</v>
      </c>
      <c r="E37" s="48" t="s">
        <v>62</v>
      </c>
      <c r="F37" s="48"/>
      <c r="G37" s="24"/>
      <c r="H37" s="957"/>
      <c r="I37" s="21"/>
      <c r="J37" s="953">
        <v>890</v>
      </c>
      <c r="K37" s="10"/>
      <c r="L37" s="49" t="s">
        <v>66</v>
      </c>
      <c r="M37" s="19">
        <v>44977</v>
      </c>
    </row>
    <row r="38" spans="1:13" ht="36" x14ac:dyDescent="0.3">
      <c r="A38" s="14">
        <v>35</v>
      </c>
      <c r="B38" s="15" t="s">
        <v>64</v>
      </c>
      <c r="C38" s="16" t="s">
        <v>94</v>
      </c>
      <c r="D38" s="17">
        <v>2</v>
      </c>
      <c r="E38" s="48" t="s">
        <v>62</v>
      </c>
      <c r="F38" s="48"/>
      <c r="G38" s="24"/>
      <c r="H38" s="957"/>
      <c r="I38" s="21"/>
      <c r="J38" s="953">
        <v>950</v>
      </c>
      <c r="K38" s="10"/>
      <c r="L38" s="49" t="s">
        <v>67</v>
      </c>
      <c r="M38" s="19">
        <v>44977</v>
      </c>
    </row>
    <row r="39" spans="1:13" ht="36" x14ac:dyDescent="0.3">
      <c r="A39" s="14">
        <v>36</v>
      </c>
      <c r="B39" s="15" t="s">
        <v>64</v>
      </c>
      <c r="C39" s="16" t="s">
        <v>94</v>
      </c>
      <c r="D39" s="17">
        <v>2</v>
      </c>
      <c r="E39" s="48" t="s">
        <v>62</v>
      </c>
      <c r="F39" s="48"/>
      <c r="G39" s="24"/>
      <c r="H39" s="957"/>
      <c r="I39" s="21"/>
      <c r="J39" s="953">
        <v>1022</v>
      </c>
      <c r="K39" s="10"/>
      <c r="L39" s="49" t="s">
        <v>68</v>
      </c>
      <c r="M39" s="19">
        <v>44977</v>
      </c>
    </row>
    <row r="40" spans="1:13" ht="36" x14ac:dyDescent="0.3">
      <c r="A40" s="14">
        <v>37</v>
      </c>
      <c r="B40" s="32" t="s">
        <v>69</v>
      </c>
      <c r="C40" s="27" t="s">
        <v>33</v>
      </c>
      <c r="D40" s="28"/>
      <c r="E40" s="33">
        <v>3</v>
      </c>
      <c r="F40" s="33"/>
      <c r="G40" s="31">
        <f>H40-(E40*160)</f>
        <v>1760.4</v>
      </c>
      <c r="H40" s="958">
        <f>1630*1.08+3*160</f>
        <v>2240.4</v>
      </c>
      <c r="I40" s="31">
        <f>J40-(E40*160)</f>
        <v>1533.6000000000001</v>
      </c>
      <c r="J40" s="954">
        <f>1420*1.08+3*160</f>
        <v>2013.6000000000001</v>
      </c>
      <c r="K40" s="10" t="s">
        <v>34</v>
      </c>
      <c r="L40" s="10"/>
      <c r="M40" s="19">
        <v>46054</v>
      </c>
    </row>
    <row r="41" spans="1:13" ht="54" x14ac:dyDescent="0.3">
      <c r="A41" s="14">
        <v>38</v>
      </c>
      <c r="B41" s="50" t="s">
        <v>70</v>
      </c>
      <c r="C41" s="51" t="s">
        <v>19</v>
      </c>
      <c r="D41" s="52">
        <v>0.5</v>
      </c>
      <c r="E41" s="48" t="s">
        <v>16</v>
      </c>
      <c r="F41" s="48"/>
      <c r="G41" s="24"/>
      <c r="H41" s="957"/>
      <c r="I41" s="1217">
        <v>304</v>
      </c>
      <c r="J41" s="1218">
        <v>304</v>
      </c>
      <c r="K41" s="10" t="s">
        <v>17</v>
      </c>
      <c r="L41" s="10" t="s">
        <v>28</v>
      </c>
      <c r="M41" s="19">
        <v>44977</v>
      </c>
    </row>
    <row r="42" spans="1:13" ht="39.950000000000003" customHeight="1" x14ac:dyDescent="0.3">
      <c r="A42" s="14">
        <v>39</v>
      </c>
      <c r="B42" s="22" t="s">
        <v>71</v>
      </c>
      <c r="C42" s="53" t="s">
        <v>19</v>
      </c>
      <c r="D42" s="53"/>
      <c r="E42" s="17" t="s">
        <v>72</v>
      </c>
      <c r="F42" s="17"/>
      <c r="G42" s="24"/>
      <c r="H42" s="957"/>
      <c r="I42" s="1219">
        <v>300</v>
      </c>
      <c r="J42" s="1220"/>
      <c r="K42" s="10" t="s">
        <v>73</v>
      </c>
      <c r="L42" s="10" t="s">
        <v>74</v>
      </c>
      <c r="M42" s="19">
        <v>45300</v>
      </c>
    </row>
    <row r="43" spans="1:13" ht="39.950000000000003" customHeight="1" thickBot="1" x14ac:dyDescent="0.35">
      <c r="A43" s="54">
        <v>40</v>
      </c>
      <c r="B43" s="55" t="s">
        <v>75</v>
      </c>
      <c r="C43" s="56" t="s">
        <v>19</v>
      </c>
      <c r="D43" s="56"/>
      <c r="E43" s="57" t="s">
        <v>16</v>
      </c>
      <c r="F43" s="57"/>
      <c r="G43" s="58"/>
      <c r="H43" s="959"/>
      <c r="I43" s="1221">
        <v>250</v>
      </c>
      <c r="J43" s="1222"/>
      <c r="K43" s="59" t="s">
        <v>73</v>
      </c>
      <c r="L43" s="59" t="s">
        <v>76</v>
      </c>
      <c r="M43" s="60">
        <v>45300</v>
      </c>
    </row>
    <row r="45" spans="1:13" x14ac:dyDescent="0.35">
      <c r="B45" s="1223"/>
      <c r="C45" s="1223"/>
    </row>
    <row r="46" spans="1:13" ht="18.75" thickBot="1" x14ac:dyDescent="0.4">
      <c r="B46" s="1224"/>
      <c r="C46" s="1224"/>
    </row>
    <row r="47" spans="1:13" ht="66.75" customHeight="1" x14ac:dyDescent="0.35">
      <c r="B47" s="66" t="s">
        <v>77</v>
      </c>
      <c r="C47" s="67" t="s">
        <v>78</v>
      </c>
    </row>
    <row r="48" spans="1:13" x14ac:dyDescent="0.35">
      <c r="B48" s="960" t="s">
        <v>79</v>
      </c>
      <c r="C48" s="961">
        <v>160</v>
      </c>
    </row>
    <row r="49" spans="2:10" x14ac:dyDescent="0.35">
      <c r="B49" s="960" t="s">
        <v>80</v>
      </c>
      <c r="C49" s="961">
        <v>380</v>
      </c>
    </row>
    <row r="50" spans="2:10" x14ac:dyDescent="0.35">
      <c r="B50" s="960" t="s">
        <v>81</v>
      </c>
      <c r="C50" s="961">
        <v>485</v>
      </c>
    </row>
    <row r="51" spans="2:10" x14ac:dyDescent="0.35">
      <c r="B51" s="962" t="s">
        <v>82</v>
      </c>
      <c r="C51" s="963">
        <v>540</v>
      </c>
    </row>
    <row r="52" spans="2:10" ht="18.75" thickBot="1" x14ac:dyDescent="0.4">
      <c r="B52" s="964" t="s">
        <v>83</v>
      </c>
      <c r="C52" s="965">
        <v>760</v>
      </c>
    </row>
    <row r="54" spans="2:10" x14ac:dyDescent="0.35">
      <c r="B54" s="74" t="s">
        <v>84</v>
      </c>
    </row>
    <row r="55" spans="2:10" ht="18.75" x14ac:dyDescent="0.3">
      <c r="B55" s="1225" t="s">
        <v>85</v>
      </c>
      <c r="C55" s="1226"/>
      <c r="D55" s="1226"/>
      <c r="E55" s="1226"/>
      <c r="F55" s="1226"/>
      <c r="G55" s="1226"/>
      <c r="H55" s="1226"/>
      <c r="I55" s="1226"/>
      <c r="J55" s="1226"/>
    </row>
    <row r="56" spans="2:10" ht="63.75" customHeight="1" x14ac:dyDescent="0.3">
      <c r="B56" s="1178" t="s">
        <v>95</v>
      </c>
      <c r="C56" s="1178"/>
      <c r="D56" s="1178"/>
      <c r="E56" s="1178"/>
      <c r="F56" s="1178"/>
      <c r="G56" s="1178"/>
      <c r="H56" s="1178"/>
      <c r="I56" s="1178"/>
      <c r="J56" s="1178"/>
    </row>
    <row r="57" spans="2:10" ht="50.25" customHeight="1" x14ac:dyDescent="0.3">
      <c r="B57" s="1178" t="s">
        <v>96</v>
      </c>
      <c r="C57" s="1178"/>
      <c r="D57" s="1178"/>
      <c r="E57" s="1178"/>
      <c r="F57" s="1178"/>
      <c r="G57" s="1178"/>
      <c r="H57" s="1178"/>
      <c r="I57" s="1178"/>
      <c r="J57" s="1178"/>
    </row>
    <row r="58" spans="2:10" ht="36" customHeight="1" x14ac:dyDescent="0.3">
      <c r="B58" s="1178" t="s">
        <v>97</v>
      </c>
      <c r="C58" s="1178"/>
      <c r="D58" s="1178"/>
      <c r="E58" s="1178"/>
      <c r="F58" s="1178"/>
      <c r="G58" s="1178"/>
      <c r="H58" s="1178"/>
      <c r="I58" s="1178"/>
      <c r="J58" s="1178"/>
    </row>
    <row r="59" spans="2:10" ht="63.75" customHeight="1" x14ac:dyDescent="0.3">
      <c r="B59" s="1209" t="s">
        <v>98</v>
      </c>
      <c r="C59" s="1210"/>
      <c r="D59" s="1210"/>
      <c r="E59" s="1210"/>
      <c r="F59" s="1210"/>
      <c r="G59" s="1210"/>
      <c r="H59" s="1210"/>
      <c r="I59" s="1210"/>
      <c r="J59" s="1210"/>
    </row>
    <row r="60" spans="2:10" ht="47.25" customHeight="1" x14ac:dyDescent="0.3">
      <c r="B60" s="1178" t="s">
        <v>99</v>
      </c>
      <c r="C60" s="1178"/>
      <c r="D60" s="1178"/>
      <c r="E60" s="1178"/>
      <c r="F60" s="1178"/>
      <c r="G60" s="1178"/>
      <c r="H60" s="1178"/>
      <c r="I60" s="1178"/>
      <c r="J60" s="1178"/>
    </row>
    <row r="61" spans="2:10" ht="28.5" customHeight="1" x14ac:dyDescent="0.3">
      <c r="B61" s="1178" t="s">
        <v>100</v>
      </c>
      <c r="C61" s="1178"/>
      <c r="D61" s="1178"/>
      <c r="E61" s="1178"/>
      <c r="F61" s="1178"/>
      <c r="G61" s="1178"/>
      <c r="H61" s="1178"/>
      <c r="I61" s="1178"/>
      <c r="J61" s="1178"/>
    </row>
    <row r="62" spans="2:10" ht="46.5" customHeight="1" x14ac:dyDescent="0.3">
      <c r="B62" s="1209" t="s">
        <v>101</v>
      </c>
      <c r="C62" s="1210"/>
      <c r="D62" s="1210"/>
      <c r="E62" s="1210"/>
      <c r="F62" s="1210"/>
      <c r="G62" s="1210"/>
      <c r="H62" s="1210"/>
      <c r="I62" s="1210"/>
      <c r="J62" s="1210"/>
    </row>
    <row r="63" spans="2:10" ht="55.5" customHeight="1" x14ac:dyDescent="0.3">
      <c r="B63" s="1178" t="s">
        <v>102</v>
      </c>
      <c r="C63" s="1178"/>
      <c r="D63" s="1178"/>
      <c r="E63" s="1178"/>
      <c r="F63" s="1178"/>
      <c r="G63" s="1178"/>
      <c r="H63" s="1178"/>
      <c r="I63" s="1178"/>
      <c r="J63" s="1178"/>
    </row>
    <row r="64" spans="2:10" x14ac:dyDescent="0.3">
      <c r="B64" s="1211"/>
      <c r="C64" s="1212"/>
      <c r="D64" s="1212"/>
      <c r="E64" s="1212"/>
      <c r="F64" s="1212"/>
      <c r="G64" s="1212"/>
      <c r="H64" s="1212"/>
      <c r="I64" s="1212"/>
      <c r="J64" s="1212"/>
    </row>
    <row r="65" spans="2:5" ht="18.75" x14ac:dyDescent="0.35">
      <c r="B65" s="1213" t="s">
        <v>86</v>
      </c>
      <c r="C65" s="1213"/>
      <c r="D65" s="1213"/>
      <c r="E65" s="1213"/>
    </row>
    <row r="66" spans="2:5" ht="111.75" customHeight="1" x14ac:dyDescent="0.35">
      <c r="B66" s="1214" t="s">
        <v>87</v>
      </c>
      <c r="C66" s="1215"/>
      <c r="D66" s="1215"/>
      <c r="E66" s="1216"/>
    </row>
    <row r="67" spans="2:5" ht="51" customHeight="1" x14ac:dyDescent="0.35">
      <c r="B67" s="1214" t="s">
        <v>88</v>
      </c>
      <c r="C67" s="1215"/>
      <c r="D67" s="1215"/>
      <c r="E67" s="1216"/>
    </row>
    <row r="68" spans="2:5" ht="42.75" customHeight="1" x14ac:dyDescent="0.35">
      <c r="B68" s="1177" t="s">
        <v>89</v>
      </c>
      <c r="C68" s="1177"/>
      <c r="D68" s="1177"/>
      <c r="E68" s="1177"/>
    </row>
    <row r="69" spans="2:5" ht="24.75" customHeight="1" x14ac:dyDescent="0.35">
      <c r="B69" s="1177" t="s">
        <v>90</v>
      </c>
      <c r="C69" s="1177"/>
      <c r="D69" s="1177"/>
      <c r="E69" s="1177"/>
    </row>
    <row r="70" spans="2:5" ht="21" customHeight="1" x14ac:dyDescent="0.35">
      <c r="B70" s="1177" t="s">
        <v>91</v>
      </c>
      <c r="C70" s="1177"/>
      <c r="D70" s="1177"/>
      <c r="E70" s="1177"/>
    </row>
    <row r="71" spans="2:5" x14ac:dyDescent="0.35">
      <c r="B71" s="77"/>
      <c r="C71" s="77"/>
      <c r="D71" s="77"/>
    </row>
  </sheetData>
  <mergeCells count="37">
    <mergeCell ref="I34:J34"/>
    <mergeCell ref="A1:M1"/>
    <mergeCell ref="A2:A3"/>
    <mergeCell ref="B2:B3"/>
    <mergeCell ref="C2:C3"/>
    <mergeCell ref="D2:D3"/>
    <mergeCell ref="E2:F2"/>
    <mergeCell ref="G2:H2"/>
    <mergeCell ref="I2:J2"/>
    <mergeCell ref="K2:K3"/>
    <mergeCell ref="L2:L3"/>
    <mergeCell ref="M2:M3"/>
    <mergeCell ref="G4:H4"/>
    <mergeCell ref="I4:J4"/>
    <mergeCell ref="I12:J12"/>
    <mergeCell ref="I13:J13"/>
    <mergeCell ref="B61:J61"/>
    <mergeCell ref="I41:J41"/>
    <mergeCell ref="I42:J42"/>
    <mergeCell ref="I43:J43"/>
    <mergeCell ref="B45:C45"/>
    <mergeCell ref="B46:C46"/>
    <mergeCell ref="B55:J55"/>
    <mergeCell ref="B56:J56"/>
    <mergeCell ref="B57:J57"/>
    <mergeCell ref="B58:J58"/>
    <mergeCell ref="B59:J59"/>
    <mergeCell ref="B60:J60"/>
    <mergeCell ref="B68:E68"/>
    <mergeCell ref="B69:E69"/>
    <mergeCell ref="B70:E70"/>
    <mergeCell ref="B62:J62"/>
    <mergeCell ref="B63:J63"/>
    <mergeCell ref="B64:J64"/>
    <mergeCell ref="B65:E65"/>
    <mergeCell ref="B66:E66"/>
    <mergeCell ref="B67:E6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63955-B93D-465B-8BC2-F221A292D4B6}">
  <dimension ref="A1:N35"/>
  <sheetViews>
    <sheetView workbookViewId="0">
      <selection activeCell="A6" sqref="A6:XFD6"/>
    </sheetView>
  </sheetViews>
  <sheetFormatPr defaultColWidth="9.140625" defaultRowHeight="16.5" x14ac:dyDescent="0.3"/>
  <cols>
    <col min="1" max="1" width="58.140625" style="20" customWidth="1"/>
    <col min="2" max="2" width="14.85546875" style="20" customWidth="1"/>
    <col min="3" max="3" width="11.5703125" style="20" bestFit="1" customWidth="1"/>
    <col min="4" max="4" width="10" style="20" bestFit="1" customWidth="1"/>
    <col min="5" max="5" width="10.85546875" style="20" customWidth="1"/>
    <col min="6" max="6" width="17.85546875" style="20" bestFit="1" customWidth="1"/>
    <col min="7" max="7" width="18.7109375" style="20" customWidth="1"/>
    <col min="8" max="8" width="17.140625" style="20" customWidth="1"/>
    <col min="9" max="9" width="27" style="78" customWidth="1"/>
    <col min="10" max="10" width="14.5703125" style="78" bestFit="1" customWidth="1"/>
    <col min="11" max="12" width="19" style="78" bestFit="1" customWidth="1"/>
    <col min="13" max="13" width="18.5703125" style="78" bestFit="1" customWidth="1"/>
    <col min="14" max="14" width="16" style="20" customWidth="1"/>
    <col min="15" max="16384" width="9.140625" style="20"/>
  </cols>
  <sheetData>
    <row r="1" spans="1:14" ht="18.75" x14ac:dyDescent="0.3">
      <c r="A1" s="1256" t="s">
        <v>103</v>
      </c>
      <c r="B1" s="1257"/>
      <c r="C1" s="1257"/>
      <c r="D1" s="1257"/>
      <c r="E1" s="1257"/>
      <c r="F1" s="1257"/>
      <c r="G1" s="1257"/>
      <c r="H1" s="1257"/>
      <c r="I1" s="1257"/>
      <c r="J1" s="1257"/>
      <c r="K1" s="1257"/>
      <c r="L1" s="1257"/>
      <c r="M1" s="1257"/>
      <c r="N1" s="1257"/>
    </row>
    <row r="2" spans="1:14" ht="17.25" thickBot="1" x14ac:dyDescent="0.35"/>
    <row r="3" spans="1:14" ht="21.75" thickBot="1" x14ac:dyDescent="0.35">
      <c r="A3" s="1258" t="s">
        <v>104</v>
      </c>
      <c r="B3" s="1259"/>
      <c r="C3" s="1259"/>
      <c r="D3" s="1259"/>
      <c r="E3" s="1259"/>
      <c r="F3" s="1259"/>
      <c r="G3" s="1259"/>
      <c r="H3" s="1259"/>
      <c r="I3" s="1260"/>
    </row>
    <row r="4" spans="1:14" ht="36.75" thickBot="1" x14ac:dyDescent="0.35">
      <c r="A4" s="942" t="s">
        <v>2</v>
      </c>
      <c r="B4" s="943" t="s">
        <v>3</v>
      </c>
      <c r="C4" s="943" t="s">
        <v>105</v>
      </c>
      <c r="D4" s="943" t="s">
        <v>106</v>
      </c>
      <c r="E4" s="944" t="s">
        <v>107</v>
      </c>
      <c r="F4" s="944" t="s">
        <v>108</v>
      </c>
      <c r="G4" s="945" t="s">
        <v>109</v>
      </c>
      <c r="H4" s="946" t="s">
        <v>8</v>
      </c>
      <c r="I4" s="947" t="s">
        <v>110</v>
      </c>
    </row>
    <row r="5" spans="1:14" ht="32.25" x14ac:dyDescent="0.3">
      <c r="A5" s="976" t="s">
        <v>111</v>
      </c>
      <c r="B5" s="79" t="s">
        <v>112</v>
      </c>
      <c r="C5" s="80">
        <v>1</v>
      </c>
      <c r="D5" s="80" t="s">
        <v>113</v>
      </c>
      <c r="E5" s="948" t="s">
        <v>13</v>
      </c>
      <c r="F5" s="82">
        <v>1000</v>
      </c>
      <c r="G5" s="81">
        <v>1200</v>
      </c>
      <c r="H5" s="1261" t="s">
        <v>114</v>
      </c>
      <c r="I5" s="83" t="s">
        <v>115</v>
      </c>
      <c r="J5" s="84"/>
      <c r="K5" s="84"/>
      <c r="L5" s="84"/>
    </row>
    <row r="6" spans="1:14" ht="63" x14ac:dyDescent="0.3">
      <c r="A6" s="977" t="s">
        <v>116</v>
      </c>
      <c r="B6" s="85" t="s">
        <v>117</v>
      </c>
      <c r="C6" s="86">
        <v>1</v>
      </c>
      <c r="D6" s="86" t="s">
        <v>113</v>
      </c>
      <c r="E6" s="949" t="s">
        <v>13</v>
      </c>
      <c r="F6" s="87">
        <f>1200+300</f>
        <v>1500</v>
      </c>
      <c r="G6" s="88">
        <f>1400+300</f>
        <v>1700</v>
      </c>
      <c r="H6" s="1261"/>
      <c r="I6" s="89" t="s">
        <v>118</v>
      </c>
      <c r="J6" s="84"/>
      <c r="K6" s="84"/>
      <c r="L6" s="84"/>
    </row>
    <row r="7" spans="1:14" ht="63" x14ac:dyDescent="0.3">
      <c r="A7" s="90" t="s">
        <v>119</v>
      </c>
      <c r="B7" s="79" t="s">
        <v>112</v>
      </c>
      <c r="C7" s="80">
        <v>1</v>
      </c>
      <c r="D7" s="80"/>
      <c r="E7" s="948" t="s">
        <v>120</v>
      </c>
      <c r="F7" s="82">
        <v>1000</v>
      </c>
      <c r="G7" s="81">
        <v>1200</v>
      </c>
      <c r="H7" s="1261"/>
      <c r="I7" s="89" t="s">
        <v>121</v>
      </c>
      <c r="J7" s="84"/>
      <c r="K7" s="84"/>
      <c r="L7" s="84"/>
    </row>
    <row r="8" spans="1:14" ht="31.5" x14ac:dyDescent="0.3">
      <c r="A8" s="91"/>
      <c r="B8" s="92"/>
      <c r="C8" s="92"/>
      <c r="D8" s="92"/>
      <c r="E8" s="93"/>
      <c r="F8" s="93"/>
      <c r="G8" s="94"/>
      <c r="H8" s="95"/>
      <c r="I8" s="89" t="s">
        <v>122</v>
      </c>
      <c r="J8" s="84"/>
      <c r="K8" s="84"/>
      <c r="L8" s="84"/>
    </row>
    <row r="9" spans="1:14" ht="78.75" x14ac:dyDescent="0.3">
      <c r="A9" s="91"/>
      <c r="B9" s="92"/>
      <c r="C9" s="92"/>
      <c r="D9" s="92"/>
      <c r="E9" s="93"/>
      <c r="F9" s="93"/>
      <c r="G9" s="93"/>
      <c r="H9" s="96"/>
      <c r="I9" s="89" t="s">
        <v>123</v>
      </c>
      <c r="J9" s="84"/>
      <c r="K9" s="84"/>
      <c r="L9" s="84"/>
    </row>
    <row r="10" spans="1:14" ht="18.75" thickBot="1" x14ac:dyDescent="0.35">
      <c r="A10" s="97"/>
      <c r="B10" s="98"/>
      <c r="C10" s="98"/>
      <c r="D10" s="98"/>
      <c r="E10" s="99"/>
      <c r="F10" s="99"/>
      <c r="G10" s="99"/>
      <c r="H10" s="100"/>
      <c r="I10" s="101"/>
    </row>
    <row r="12" spans="1:14" x14ac:dyDescent="0.3">
      <c r="A12" s="102"/>
      <c r="B12"/>
      <c r="C12"/>
      <c r="D12"/>
      <c r="E12"/>
      <c r="F12"/>
      <c r="G12"/>
      <c r="H12"/>
      <c r="I12"/>
      <c r="J12"/>
      <c r="K12"/>
    </row>
    <row r="13" spans="1:14" x14ac:dyDescent="0.3">
      <c r="A13" s="102"/>
      <c r="B13"/>
      <c r="C13"/>
      <c r="D13"/>
      <c r="E13"/>
      <c r="F13"/>
      <c r="G13"/>
      <c r="H13"/>
      <c r="I13"/>
      <c r="J13"/>
      <c r="K13"/>
    </row>
    <row r="14" spans="1:14" ht="19.5" thickBot="1" x14ac:dyDescent="0.35">
      <c r="A14" s="1251" t="s">
        <v>103</v>
      </c>
      <c r="B14" s="1252"/>
      <c r="C14" s="1252"/>
      <c r="D14" s="1252"/>
      <c r="E14" s="1252"/>
      <c r="F14" s="1252"/>
      <c r="G14" s="1252"/>
      <c r="H14" s="1252"/>
      <c r="I14" s="1252"/>
      <c r="J14" s="103"/>
      <c r="K14" s="104"/>
    </row>
    <row r="15" spans="1:14" ht="33" x14ac:dyDescent="0.3">
      <c r="A15" s="966" t="s">
        <v>2</v>
      </c>
      <c r="B15" s="967" t="s">
        <v>124</v>
      </c>
      <c r="C15" s="967" t="s">
        <v>3</v>
      </c>
      <c r="D15" s="968" t="s">
        <v>125</v>
      </c>
      <c r="E15" s="968" t="s">
        <v>107</v>
      </c>
      <c r="F15" s="968" t="s">
        <v>126</v>
      </c>
      <c r="G15" s="968" t="s">
        <v>109</v>
      </c>
      <c r="H15" s="967" t="s">
        <v>8</v>
      </c>
      <c r="I15" s="969" t="s">
        <v>110</v>
      </c>
      <c r="J15" s="103"/>
      <c r="K15" s="104"/>
    </row>
    <row r="16" spans="1:14" ht="60" x14ac:dyDescent="0.3">
      <c r="A16" s="1262" t="s">
        <v>127</v>
      </c>
      <c r="B16" s="1253">
        <v>1</v>
      </c>
      <c r="C16" s="1254" t="s">
        <v>128</v>
      </c>
      <c r="D16" s="1253" t="s">
        <v>129</v>
      </c>
      <c r="E16" s="1253" t="s">
        <v>13</v>
      </c>
      <c r="F16" s="1255">
        <v>1370</v>
      </c>
      <c r="G16" s="1246">
        <v>1448</v>
      </c>
      <c r="H16" s="1247" t="s">
        <v>130</v>
      </c>
      <c r="I16" s="970" t="s">
        <v>131</v>
      </c>
      <c r="J16" s="103"/>
      <c r="K16" s="104"/>
    </row>
    <row r="17" spans="1:11" ht="45" x14ac:dyDescent="0.3">
      <c r="A17" s="1262"/>
      <c r="B17" s="1253"/>
      <c r="C17" s="1254"/>
      <c r="D17" s="1253"/>
      <c r="E17" s="1253"/>
      <c r="F17" s="1255"/>
      <c r="G17" s="1246"/>
      <c r="H17" s="1247"/>
      <c r="I17" s="970" t="s">
        <v>132</v>
      </c>
      <c r="J17" s="103"/>
      <c r="K17" s="104"/>
    </row>
    <row r="18" spans="1:11" x14ac:dyDescent="0.3">
      <c r="A18" s="1262"/>
      <c r="B18" s="1253"/>
      <c r="C18" s="1254"/>
      <c r="D18" s="1253"/>
      <c r="E18" s="1253"/>
      <c r="F18" s="1255"/>
      <c r="G18" s="1246"/>
      <c r="H18" s="1247"/>
      <c r="I18" s="1247" t="s">
        <v>122</v>
      </c>
      <c r="J18" s="103"/>
      <c r="K18" s="104"/>
    </row>
    <row r="19" spans="1:11" x14ac:dyDescent="0.3">
      <c r="A19" s="1262"/>
      <c r="B19" s="1253"/>
      <c r="C19" s="1254"/>
      <c r="D19" s="1253"/>
      <c r="E19" s="1253"/>
      <c r="F19" s="1255"/>
      <c r="G19" s="1246"/>
      <c r="H19" s="1247"/>
      <c r="I19" s="1247"/>
      <c r="J19" s="105"/>
      <c r="K19" s="104"/>
    </row>
    <row r="20" spans="1:11" x14ac:dyDescent="0.3">
      <c r="A20" s="1262"/>
      <c r="B20" s="1253"/>
      <c r="C20" s="1254"/>
      <c r="D20" s="1253"/>
      <c r="E20" s="1253"/>
      <c r="F20" s="1255"/>
      <c r="G20" s="1246"/>
      <c r="H20" s="1247"/>
      <c r="I20" s="1247"/>
      <c r="J20" s="105"/>
      <c r="K20" s="104"/>
    </row>
    <row r="21" spans="1:11" ht="30" x14ac:dyDescent="0.3">
      <c r="A21" s="1248" t="s">
        <v>133</v>
      </c>
      <c r="B21" s="1253">
        <v>1</v>
      </c>
      <c r="C21" s="1254" t="s">
        <v>134</v>
      </c>
      <c r="D21" s="1253" t="s">
        <v>135</v>
      </c>
      <c r="E21" s="1253" t="s">
        <v>13</v>
      </c>
      <c r="F21" s="1255">
        <v>977</v>
      </c>
      <c r="G21" s="1246">
        <v>1054</v>
      </c>
      <c r="H21" s="1247" t="s">
        <v>136</v>
      </c>
      <c r="I21" s="970" t="s">
        <v>137</v>
      </c>
      <c r="J21" s="104"/>
      <c r="K21" s="104"/>
    </row>
    <row r="22" spans="1:11" ht="45" x14ac:dyDescent="0.3">
      <c r="A22" s="1249"/>
      <c r="B22" s="1253"/>
      <c r="C22" s="1254"/>
      <c r="D22" s="1253"/>
      <c r="E22" s="1253"/>
      <c r="F22" s="1255"/>
      <c r="G22" s="1246"/>
      <c r="H22" s="1247"/>
      <c r="I22" s="970" t="s">
        <v>138</v>
      </c>
      <c r="J22" s="104"/>
      <c r="K22" s="104"/>
    </row>
    <row r="23" spans="1:11" x14ac:dyDescent="0.3">
      <c r="A23" s="1249"/>
      <c r="B23" s="1253"/>
      <c r="C23" s="1254"/>
      <c r="D23" s="1253"/>
      <c r="E23" s="1253"/>
      <c r="F23" s="1255"/>
      <c r="G23" s="1246"/>
      <c r="H23" s="1247"/>
      <c r="I23" s="1247" t="s">
        <v>122</v>
      </c>
      <c r="J23" s="104"/>
      <c r="K23" s="104"/>
    </row>
    <row r="24" spans="1:11" x14ac:dyDescent="0.3">
      <c r="A24" s="1249"/>
      <c r="B24" s="1253"/>
      <c r="C24" s="1254"/>
      <c r="D24" s="1253"/>
      <c r="E24" s="1253"/>
      <c r="F24" s="1255"/>
      <c r="G24" s="1246"/>
      <c r="H24" s="1247"/>
      <c r="I24" s="1247"/>
      <c r="J24" s="105"/>
      <c r="K24" s="104"/>
    </row>
    <row r="25" spans="1:11" ht="98.25" customHeight="1" thickBot="1" x14ac:dyDescent="0.35">
      <c r="A25" s="1250"/>
      <c r="B25" s="1253"/>
      <c r="C25" s="1254"/>
      <c r="D25" s="1253"/>
      <c r="E25" s="1253"/>
      <c r="F25" s="1255"/>
      <c r="G25" s="1246"/>
      <c r="H25" s="1247"/>
      <c r="I25" s="1247"/>
      <c r="J25" s="105"/>
      <c r="K25" s="104"/>
    </row>
    <row r="26" spans="1:11" x14ac:dyDescent="0.3">
      <c r="A26" s="102"/>
      <c r="B26"/>
      <c r="C26"/>
      <c r="D26"/>
      <c r="E26"/>
      <c r="F26"/>
      <c r="G26"/>
      <c r="H26"/>
      <c r="I26"/>
    </row>
    <row r="27" spans="1:11" x14ac:dyDescent="0.3">
      <c r="A27" s="102"/>
      <c r="B27"/>
      <c r="C27"/>
      <c r="D27"/>
      <c r="E27"/>
      <c r="F27"/>
      <c r="G27"/>
      <c r="H27"/>
      <c r="I27"/>
    </row>
    <row r="28" spans="1:11" ht="19.5" thickBot="1" x14ac:dyDescent="0.35">
      <c r="A28" s="1251" t="s">
        <v>103</v>
      </c>
      <c r="B28" s="1252"/>
      <c r="C28" s="1252"/>
      <c r="D28" s="1252"/>
      <c r="E28" s="1252"/>
      <c r="F28" s="1252"/>
      <c r="G28" s="1252"/>
      <c r="H28" s="1252"/>
      <c r="I28" s="1252"/>
    </row>
    <row r="29" spans="1:11" ht="36" x14ac:dyDescent="0.3">
      <c r="A29" s="971" t="s">
        <v>2</v>
      </c>
      <c r="B29" s="972" t="s">
        <v>3</v>
      </c>
      <c r="C29" s="972" t="s">
        <v>105</v>
      </c>
      <c r="D29" s="972" t="s">
        <v>106</v>
      </c>
      <c r="E29" s="973" t="s">
        <v>107</v>
      </c>
      <c r="F29" s="973" t="s">
        <v>108</v>
      </c>
      <c r="G29" s="973" t="s">
        <v>109</v>
      </c>
      <c r="H29" s="972" t="s">
        <v>8</v>
      </c>
      <c r="I29" s="974" t="s">
        <v>110</v>
      </c>
    </row>
    <row r="30" spans="1:11" ht="47.25" x14ac:dyDescent="0.3">
      <c r="A30" s="1243" t="s">
        <v>139</v>
      </c>
      <c r="B30" s="1243" t="s">
        <v>140</v>
      </c>
      <c r="C30" s="1244" t="s">
        <v>72</v>
      </c>
      <c r="D30" s="1245" t="s">
        <v>135</v>
      </c>
      <c r="E30" s="1244" t="s">
        <v>13</v>
      </c>
      <c r="F30" s="1241">
        <v>3285</v>
      </c>
      <c r="G30" s="1242">
        <v>3370</v>
      </c>
      <c r="H30" s="1243" t="s">
        <v>141</v>
      </c>
      <c r="I30" s="975" t="s">
        <v>142</v>
      </c>
    </row>
    <row r="31" spans="1:11" ht="31.5" x14ac:dyDescent="0.3">
      <c r="A31" s="1243"/>
      <c r="B31" s="1243"/>
      <c r="C31" s="1244"/>
      <c r="D31" s="1245"/>
      <c r="E31" s="1244"/>
      <c r="F31" s="1241"/>
      <c r="G31" s="1242"/>
      <c r="H31" s="1243"/>
      <c r="I31" s="975" t="s">
        <v>1205</v>
      </c>
    </row>
    <row r="32" spans="1:11" ht="31.5" x14ac:dyDescent="0.3">
      <c r="A32" s="1243"/>
      <c r="B32" s="1243"/>
      <c r="C32" s="1244"/>
      <c r="D32" s="1245"/>
      <c r="E32" s="1244"/>
      <c r="F32" s="1241"/>
      <c r="G32" s="1242"/>
      <c r="H32" s="1243"/>
      <c r="I32" s="975" t="s">
        <v>143</v>
      </c>
    </row>
    <row r="33" spans="1:9" ht="47.25" x14ac:dyDescent="0.3">
      <c r="A33" s="1243"/>
      <c r="B33" s="1243"/>
      <c r="C33" s="1244"/>
      <c r="D33" s="1245"/>
      <c r="E33" s="1244"/>
      <c r="F33" s="1241"/>
      <c r="G33" s="1242"/>
      <c r="H33" s="1243"/>
      <c r="I33" s="975" t="s">
        <v>132</v>
      </c>
    </row>
    <row r="34" spans="1:9" ht="31.5" x14ac:dyDescent="0.3">
      <c r="A34" s="1243"/>
      <c r="B34" s="1243"/>
      <c r="C34" s="1244"/>
      <c r="D34" s="1245"/>
      <c r="E34" s="1244"/>
      <c r="F34" s="1241"/>
      <c r="G34" s="1242"/>
      <c r="H34" s="1243"/>
      <c r="I34" s="975" t="s">
        <v>141</v>
      </c>
    </row>
    <row r="35" spans="1:9" ht="31.5" x14ac:dyDescent="0.3">
      <c r="A35" s="1243"/>
      <c r="B35" s="1243"/>
      <c r="C35" s="1244"/>
      <c r="D35" s="1245"/>
      <c r="E35" s="1244"/>
      <c r="F35" s="1241"/>
      <c r="G35" s="1242"/>
      <c r="H35" s="1243"/>
      <c r="I35" s="975" t="s">
        <v>122</v>
      </c>
    </row>
  </sheetData>
  <mergeCells count="31">
    <mergeCell ref="A1:N1"/>
    <mergeCell ref="A3:I3"/>
    <mergeCell ref="H5:H7"/>
    <mergeCell ref="A14:I14"/>
    <mergeCell ref="A16:A20"/>
    <mergeCell ref="B16:B20"/>
    <mergeCell ref="C16:C20"/>
    <mergeCell ref="D16:D20"/>
    <mergeCell ref="E16:E20"/>
    <mergeCell ref="F16:F20"/>
    <mergeCell ref="G16:G20"/>
    <mergeCell ref="H16:H20"/>
    <mergeCell ref="I18:I20"/>
    <mergeCell ref="G21:G25"/>
    <mergeCell ref="H21:H25"/>
    <mergeCell ref="A21:A25"/>
    <mergeCell ref="I23:I25"/>
    <mergeCell ref="A28:I28"/>
    <mergeCell ref="B21:B25"/>
    <mergeCell ref="C21:C25"/>
    <mergeCell ref="D21:D25"/>
    <mergeCell ref="E21:E25"/>
    <mergeCell ref="F21:F25"/>
    <mergeCell ref="F30:F35"/>
    <mergeCell ref="G30:G35"/>
    <mergeCell ref="H30:H35"/>
    <mergeCell ref="A30:A35"/>
    <mergeCell ref="B30:B35"/>
    <mergeCell ref="C30:C35"/>
    <mergeCell ref="D30:D35"/>
    <mergeCell ref="E30:E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506BF-92A9-4825-906C-F6E6D8E0B2BD}">
  <dimension ref="A1:H36"/>
  <sheetViews>
    <sheetView workbookViewId="0">
      <selection activeCell="F15" sqref="F15"/>
    </sheetView>
  </sheetViews>
  <sheetFormatPr defaultColWidth="8.85546875" defaultRowHeight="18.75" x14ac:dyDescent="0.3"/>
  <cols>
    <col min="1" max="1" width="82.7109375" style="107" customWidth="1"/>
    <col min="2" max="2" width="22.7109375" style="107" customWidth="1"/>
    <col min="3" max="3" width="24.5703125" style="107" customWidth="1"/>
    <col min="4" max="4" width="52.28515625" style="107" customWidth="1"/>
    <col min="5" max="5" width="19.140625" style="107" bestFit="1" customWidth="1"/>
    <col min="6" max="7" width="8.85546875" style="107"/>
    <col min="8" max="8" width="13.140625" style="107" customWidth="1"/>
    <col min="9" max="16384" width="8.85546875" style="107"/>
  </cols>
  <sheetData>
    <row r="1" spans="1:8" ht="19.5" thickBot="1" x14ac:dyDescent="0.35">
      <c r="A1" s="1284" t="s">
        <v>1195</v>
      </c>
      <c r="B1" s="1285"/>
      <c r="C1" s="1285"/>
      <c r="D1" s="1285"/>
      <c r="E1" s="1286"/>
      <c r="F1" s="106"/>
      <c r="G1" s="106"/>
    </row>
    <row r="2" spans="1:8" ht="115.5" x14ac:dyDescent="0.3">
      <c r="A2" s="916" t="s">
        <v>144</v>
      </c>
      <c r="B2" s="917" t="s">
        <v>145</v>
      </c>
      <c r="C2" s="918" t="s">
        <v>1201</v>
      </c>
      <c r="D2" s="919" t="s">
        <v>1202</v>
      </c>
      <c r="E2" s="920" t="s">
        <v>146</v>
      </c>
      <c r="F2" s="108"/>
      <c r="G2" s="109"/>
      <c r="H2" s="109"/>
    </row>
    <row r="3" spans="1:8" x14ac:dyDescent="0.3">
      <c r="A3" s="110" t="s">
        <v>147</v>
      </c>
      <c r="B3" s="111">
        <v>95</v>
      </c>
      <c r="C3" s="111">
        <v>275</v>
      </c>
      <c r="D3" s="111">
        <v>495</v>
      </c>
      <c r="E3" s="112">
        <v>75</v>
      </c>
      <c r="F3" s="113"/>
    </row>
    <row r="4" spans="1:8" x14ac:dyDescent="0.3">
      <c r="A4" s="110" t="s">
        <v>148</v>
      </c>
      <c r="B4" s="111">
        <v>135</v>
      </c>
      <c r="C4" s="111">
        <v>350</v>
      </c>
      <c r="D4" s="111">
        <v>550</v>
      </c>
      <c r="E4" s="112">
        <v>75</v>
      </c>
      <c r="F4" s="113"/>
    </row>
    <row r="5" spans="1:8" ht="38.25" thickBot="1" x14ac:dyDescent="0.35">
      <c r="A5" s="114" t="s">
        <v>149</v>
      </c>
      <c r="B5" s="115" t="s">
        <v>150</v>
      </c>
      <c r="C5" s="115" t="s">
        <v>151</v>
      </c>
      <c r="D5" s="115" t="s">
        <v>152</v>
      </c>
      <c r="E5" s="116">
        <v>75</v>
      </c>
      <c r="F5" s="117"/>
    </row>
    <row r="6" spans="1:8" x14ac:dyDescent="0.3">
      <c r="A6" s="117"/>
      <c r="B6" s="117"/>
      <c r="C6" s="117"/>
      <c r="D6" s="117"/>
      <c r="E6" s="113"/>
      <c r="F6" s="117"/>
    </row>
    <row r="7" spans="1:8" x14ac:dyDescent="0.3">
      <c r="A7" s="117"/>
      <c r="B7" s="117"/>
      <c r="C7" s="117"/>
      <c r="D7" s="117"/>
      <c r="E7" s="113"/>
      <c r="F7" s="117"/>
    </row>
    <row r="9" spans="1:8" ht="19.5" thickBot="1" x14ac:dyDescent="0.35"/>
    <row r="10" spans="1:8" ht="19.5" thickBot="1" x14ac:dyDescent="0.35">
      <c r="A10" s="1287" t="s">
        <v>1196</v>
      </c>
      <c r="B10" s="1288"/>
      <c r="C10" s="1288"/>
      <c r="D10" s="1288"/>
      <c r="E10" s="1288"/>
      <c r="F10" s="1289"/>
      <c r="G10" s="1289"/>
      <c r="H10" s="1290"/>
    </row>
    <row r="11" spans="1:8" x14ac:dyDescent="0.3">
      <c r="A11" s="1282"/>
      <c r="B11" s="1283"/>
      <c r="C11" s="1283"/>
      <c r="D11" s="1281" t="s">
        <v>6</v>
      </c>
      <c r="E11" s="1291"/>
      <c r="F11" s="1292" t="s">
        <v>126</v>
      </c>
      <c r="G11" s="1293"/>
      <c r="H11" s="1294"/>
    </row>
    <row r="12" spans="1:8" ht="37.5" x14ac:dyDescent="0.3">
      <c r="A12" s="1282"/>
      <c r="B12" s="1283"/>
      <c r="C12" s="118" t="s">
        <v>144</v>
      </c>
      <c r="D12" s="118" t="s">
        <v>153</v>
      </c>
      <c r="E12" s="119" t="s">
        <v>154</v>
      </c>
      <c r="F12" s="120" t="s">
        <v>155</v>
      </c>
      <c r="G12" s="118" t="s">
        <v>153</v>
      </c>
      <c r="H12" s="121" t="s">
        <v>154</v>
      </c>
    </row>
    <row r="13" spans="1:8" x14ac:dyDescent="0.3">
      <c r="A13" s="1278" t="s">
        <v>156</v>
      </c>
      <c r="B13" s="1279"/>
      <c r="C13" s="122" t="s">
        <v>157</v>
      </c>
      <c r="D13" s="123">
        <v>450</v>
      </c>
      <c r="E13" s="124">
        <v>220</v>
      </c>
      <c r="F13" s="125" t="s">
        <v>63</v>
      </c>
      <c r="G13" s="126"/>
      <c r="H13" s="127"/>
    </row>
    <row r="14" spans="1:8" x14ac:dyDescent="0.3">
      <c r="A14" s="1280" t="s">
        <v>158</v>
      </c>
      <c r="B14" s="1281"/>
      <c r="C14" s="122" t="s">
        <v>157</v>
      </c>
      <c r="D14" s="123">
        <v>760</v>
      </c>
      <c r="E14" s="124">
        <v>220</v>
      </c>
      <c r="F14" s="125" t="s">
        <v>63</v>
      </c>
      <c r="G14" s="126"/>
      <c r="H14" s="127"/>
    </row>
    <row r="15" spans="1:8" x14ac:dyDescent="0.3">
      <c r="A15" s="1280" t="s">
        <v>159</v>
      </c>
      <c r="B15" s="1281"/>
      <c r="C15" s="122" t="s">
        <v>157</v>
      </c>
      <c r="D15" s="123">
        <v>800</v>
      </c>
      <c r="E15" s="124">
        <v>250</v>
      </c>
      <c r="F15" s="125" t="s">
        <v>160</v>
      </c>
      <c r="G15" s="123">
        <v>600</v>
      </c>
      <c r="H15" s="128">
        <v>250</v>
      </c>
    </row>
    <row r="16" spans="1:8" x14ac:dyDescent="0.3">
      <c r="A16" s="1280" t="s">
        <v>159</v>
      </c>
      <c r="B16" s="1281"/>
      <c r="C16" s="122" t="s">
        <v>161</v>
      </c>
      <c r="D16" s="123">
        <v>1010</v>
      </c>
      <c r="E16" s="124">
        <v>300</v>
      </c>
      <c r="F16" s="125" t="s">
        <v>160</v>
      </c>
      <c r="G16" s="123">
        <v>680</v>
      </c>
      <c r="H16" s="128">
        <v>250</v>
      </c>
    </row>
    <row r="17" spans="1:8" ht="19.5" thickBot="1" x14ac:dyDescent="0.35">
      <c r="A17" s="1276"/>
      <c r="B17" s="1277"/>
      <c r="C17" s="126"/>
      <c r="D17" s="129"/>
      <c r="E17" s="130"/>
      <c r="F17" s="131"/>
      <c r="G17" s="132"/>
      <c r="H17" s="133"/>
    </row>
    <row r="18" spans="1:8" x14ac:dyDescent="0.3">
      <c r="A18" s="1276"/>
      <c r="B18" s="1277"/>
      <c r="C18" s="1269" t="s">
        <v>162</v>
      </c>
      <c r="D18" s="1269"/>
      <c r="E18" s="1269"/>
      <c r="F18" s="134"/>
      <c r="G18" s="134"/>
      <c r="H18" s="135"/>
    </row>
    <row r="19" spans="1:8" x14ac:dyDescent="0.3">
      <c r="A19" s="1270"/>
      <c r="B19" s="1271"/>
      <c r="C19" s="1269" t="s">
        <v>163</v>
      </c>
      <c r="D19" s="1269"/>
      <c r="E19" s="1269"/>
      <c r="H19" s="136"/>
    </row>
    <row r="20" spans="1:8" x14ac:dyDescent="0.3">
      <c r="A20" s="907" t="s">
        <v>1197</v>
      </c>
      <c r="B20" s="20"/>
      <c r="C20"/>
      <c r="D20"/>
      <c r="E20"/>
      <c r="F20"/>
      <c r="G20"/>
      <c r="H20" s="908"/>
    </row>
    <row r="21" spans="1:8" x14ac:dyDescent="0.3">
      <c r="A21" s="1272" t="s">
        <v>164</v>
      </c>
      <c r="B21" s="1273"/>
      <c r="C21"/>
      <c r="D21"/>
      <c r="E21"/>
      <c r="F21"/>
      <c r="G21"/>
      <c r="H21" s="908"/>
    </row>
    <row r="22" spans="1:8" x14ac:dyDescent="0.3">
      <c r="A22" s="909"/>
      <c r="B22" s="20"/>
      <c r="C22"/>
      <c r="D22"/>
      <c r="E22"/>
      <c r="F22"/>
      <c r="G22"/>
      <c r="H22" s="908"/>
    </row>
    <row r="23" spans="1:8" x14ac:dyDescent="0.3">
      <c r="A23" s="1274" t="s">
        <v>1198</v>
      </c>
      <c r="B23" s="1275"/>
      <c r="C23"/>
      <c r="D23"/>
      <c r="E23"/>
      <c r="F23"/>
      <c r="G23"/>
      <c r="H23" s="908"/>
    </row>
    <row r="24" spans="1:8" x14ac:dyDescent="0.3">
      <c r="A24" s="1274" t="s">
        <v>1203</v>
      </c>
      <c r="B24" s="1275"/>
      <c r="C24"/>
      <c r="D24"/>
      <c r="E24"/>
      <c r="F24"/>
      <c r="G24"/>
      <c r="H24" s="908"/>
    </row>
    <row r="25" spans="1:8" ht="19.5" thickBot="1" x14ac:dyDescent="0.35">
      <c r="A25" s="910"/>
      <c r="B25" s="911"/>
      <c r="C25" s="911"/>
      <c r="D25" s="911"/>
      <c r="E25" s="911"/>
      <c r="F25" s="911"/>
      <c r="G25" s="911"/>
      <c r="H25" s="912"/>
    </row>
    <row r="27" spans="1:8" ht="19.5" thickBot="1" x14ac:dyDescent="0.35"/>
    <row r="28" spans="1:8" x14ac:dyDescent="0.3">
      <c r="A28" s="1263" t="s">
        <v>165</v>
      </c>
      <c r="B28" s="1264"/>
      <c r="C28" s="1264"/>
      <c r="D28" s="1265"/>
    </row>
    <row r="29" spans="1:8" ht="121.5" customHeight="1" x14ac:dyDescent="0.3">
      <c r="A29" s="913" t="s">
        <v>144</v>
      </c>
      <c r="B29" s="914" t="s">
        <v>1199</v>
      </c>
      <c r="C29" s="914" t="s">
        <v>1200</v>
      </c>
      <c r="D29" s="915" t="s">
        <v>166</v>
      </c>
    </row>
    <row r="30" spans="1:8" x14ac:dyDescent="0.3">
      <c r="A30" s="110" t="s">
        <v>147</v>
      </c>
      <c r="B30" s="111">
        <v>275</v>
      </c>
      <c r="C30" s="111">
        <v>495</v>
      </c>
      <c r="D30" s="1266" t="s">
        <v>167</v>
      </c>
    </row>
    <row r="31" spans="1:8" x14ac:dyDescent="0.3">
      <c r="A31" s="110" t="s">
        <v>148</v>
      </c>
      <c r="B31" s="111">
        <v>350</v>
      </c>
      <c r="C31" s="111">
        <v>550</v>
      </c>
      <c r="D31" s="1267"/>
    </row>
    <row r="32" spans="1:8" ht="38.25" thickBot="1" x14ac:dyDescent="0.35">
      <c r="A32" s="114" t="s">
        <v>149</v>
      </c>
      <c r="B32" s="115" t="s">
        <v>168</v>
      </c>
      <c r="C32" s="115" t="s">
        <v>169</v>
      </c>
      <c r="D32" s="116" t="s">
        <v>170</v>
      </c>
    </row>
    <row r="33" spans="1:4" x14ac:dyDescent="0.3">
      <c r="D33" s="137"/>
    </row>
    <row r="34" spans="1:4" x14ac:dyDescent="0.3">
      <c r="D34" s="137"/>
    </row>
    <row r="35" spans="1:4" customFormat="1" ht="16.5" x14ac:dyDescent="0.3">
      <c r="A35" s="1268" t="s">
        <v>171</v>
      </c>
      <c r="B35" s="1268"/>
    </row>
    <row r="36" spans="1:4" x14ac:dyDescent="0.3">
      <c r="A36" s="921">
        <v>45572</v>
      </c>
    </row>
  </sheetData>
  <mergeCells count="21">
    <mergeCell ref="A12:B12"/>
    <mergeCell ref="A1:E1"/>
    <mergeCell ref="A10:H10"/>
    <mergeCell ref="A11:C11"/>
    <mergeCell ref="D11:E11"/>
    <mergeCell ref="F11:H11"/>
    <mergeCell ref="A13:B13"/>
    <mergeCell ref="A14:B14"/>
    <mergeCell ref="A15:B15"/>
    <mergeCell ref="A16:B16"/>
    <mergeCell ref="A17:B17"/>
    <mergeCell ref="A28:D28"/>
    <mergeCell ref="D30:D31"/>
    <mergeCell ref="A35:B35"/>
    <mergeCell ref="C18:E18"/>
    <mergeCell ref="A19:B19"/>
    <mergeCell ref="C19:E19"/>
    <mergeCell ref="A21:B21"/>
    <mergeCell ref="A23:B23"/>
    <mergeCell ref="A24:B24"/>
    <mergeCell ref="A18:B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B2697-D929-435E-9CF0-238C2D725936}">
  <dimension ref="A1:BR86"/>
  <sheetViews>
    <sheetView workbookViewId="0">
      <selection activeCell="H8" sqref="H8"/>
    </sheetView>
  </sheetViews>
  <sheetFormatPr defaultColWidth="9.140625" defaultRowHeight="18" x14ac:dyDescent="0.35"/>
  <cols>
    <col min="1" max="1" width="5" style="20" customWidth="1"/>
    <col min="2" max="2" width="35.140625" style="202" customWidth="1"/>
    <col min="3" max="3" width="16.85546875" style="62" customWidth="1"/>
    <col min="4" max="4" width="21.7109375" style="20" customWidth="1"/>
    <col min="5" max="5" width="12.5703125" style="20" customWidth="1"/>
    <col min="6" max="6" width="18.5703125" style="20" customWidth="1"/>
    <col min="7" max="7" width="16.7109375" style="204" customWidth="1"/>
    <col min="8" max="8" width="15.7109375" style="204" customWidth="1"/>
    <col min="9" max="10" width="15.7109375" style="61" customWidth="1"/>
    <col min="11" max="11" width="33.5703125" style="62" customWidth="1"/>
    <col min="12" max="12" width="37.28515625" style="62" customWidth="1"/>
    <col min="13" max="13" width="22.42578125" style="3" customWidth="1"/>
    <col min="14" max="16384" width="9.140625" style="62"/>
  </cols>
  <sheetData>
    <row r="1" spans="1:70" s="138" customFormat="1" ht="36.75" customHeight="1" thickBot="1" x14ac:dyDescent="0.3">
      <c r="A1" s="1314" t="s">
        <v>172</v>
      </c>
      <c r="B1" s="1315"/>
      <c r="C1" s="1315"/>
      <c r="D1" s="1315"/>
      <c r="E1" s="1315"/>
      <c r="F1" s="1315"/>
      <c r="G1" s="1315"/>
      <c r="H1" s="1315"/>
      <c r="I1" s="1315"/>
      <c r="J1" s="1315"/>
      <c r="K1" s="1315"/>
      <c r="L1" s="1315"/>
      <c r="M1" s="1316"/>
    </row>
    <row r="2" spans="1:70" s="940" customFormat="1" ht="24" customHeight="1" x14ac:dyDescent="0.35">
      <c r="A2" s="1317" t="s">
        <v>1</v>
      </c>
      <c r="B2" s="1318" t="s">
        <v>2</v>
      </c>
      <c r="C2" s="1320" t="s">
        <v>3</v>
      </c>
      <c r="D2" s="1322" t="s">
        <v>4</v>
      </c>
      <c r="E2" s="1324" t="s">
        <v>5</v>
      </c>
      <c r="F2" s="1324"/>
      <c r="G2" s="1325" t="s">
        <v>173</v>
      </c>
      <c r="H2" s="1325" t="s">
        <v>174</v>
      </c>
      <c r="I2" s="1325" t="s">
        <v>175</v>
      </c>
      <c r="J2" s="1325" t="s">
        <v>176</v>
      </c>
      <c r="K2" s="1320" t="s">
        <v>8</v>
      </c>
      <c r="L2" s="1320" t="s">
        <v>9</v>
      </c>
      <c r="M2" s="1327" t="s">
        <v>10</v>
      </c>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c r="AW2" s="205"/>
      <c r="AX2" s="205"/>
      <c r="AY2" s="205"/>
      <c r="AZ2" s="205"/>
      <c r="BA2" s="205"/>
      <c r="BB2" s="205"/>
      <c r="BC2" s="205"/>
      <c r="BD2" s="205"/>
      <c r="BE2" s="205"/>
      <c r="BF2" s="205"/>
      <c r="BG2" s="205"/>
      <c r="BH2" s="205"/>
      <c r="BI2" s="205"/>
      <c r="BJ2" s="205"/>
      <c r="BK2" s="205"/>
      <c r="BL2" s="205"/>
      <c r="BM2" s="205"/>
      <c r="BN2" s="205"/>
      <c r="BO2" s="205"/>
      <c r="BP2" s="205"/>
      <c r="BQ2" s="205"/>
      <c r="BR2" s="205"/>
    </row>
    <row r="3" spans="1:70" s="940" customFormat="1" ht="39.75" customHeight="1" thickBot="1" x14ac:dyDescent="0.4">
      <c r="A3" s="1232"/>
      <c r="B3" s="1319"/>
      <c r="C3" s="1321" t="s">
        <v>3</v>
      </c>
      <c r="D3" s="1323" t="s">
        <v>4</v>
      </c>
      <c r="E3" s="941" t="s">
        <v>11</v>
      </c>
      <c r="F3" s="941" t="s">
        <v>177</v>
      </c>
      <c r="G3" s="1326" t="s">
        <v>178</v>
      </c>
      <c r="H3" s="1326" t="s">
        <v>178</v>
      </c>
      <c r="I3" s="1326"/>
      <c r="J3" s="1326"/>
      <c r="K3" s="1321" t="s">
        <v>8</v>
      </c>
      <c r="L3" s="1321" t="s">
        <v>9</v>
      </c>
      <c r="M3" s="1328" t="s">
        <v>10</v>
      </c>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5"/>
      <c r="BF3" s="205"/>
      <c r="BG3" s="205"/>
      <c r="BH3" s="205"/>
      <c r="BI3" s="205"/>
      <c r="BJ3" s="205"/>
      <c r="BK3" s="205"/>
      <c r="BL3" s="205"/>
      <c r="BM3" s="205"/>
      <c r="BN3" s="205"/>
      <c r="BO3" s="205"/>
      <c r="BP3" s="205"/>
      <c r="BQ3" s="205"/>
      <c r="BR3" s="205"/>
    </row>
    <row r="4" spans="1:70" x14ac:dyDescent="0.35">
      <c r="A4" s="139">
        <v>1</v>
      </c>
      <c r="B4" s="140" t="s">
        <v>179</v>
      </c>
      <c r="C4" s="141" t="s">
        <v>180</v>
      </c>
      <c r="D4" s="142"/>
      <c r="E4" s="143">
        <v>2</v>
      </c>
      <c r="F4" s="143"/>
      <c r="G4" s="144">
        <v>907.2</v>
      </c>
      <c r="H4" s="163">
        <v>1227.2</v>
      </c>
      <c r="I4" s="144">
        <v>1155.6000000000001</v>
      </c>
      <c r="J4" s="936">
        <v>1475.6000000000001</v>
      </c>
      <c r="K4" s="16" t="s">
        <v>181</v>
      </c>
      <c r="L4" s="145"/>
      <c r="M4" s="146">
        <v>46065</v>
      </c>
    </row>
    <row r="5" spans="1:70" x14ac:dyDescent="0.35">
      <c r="A5" s="139">
        <v>2</v>
      </c>
      <c r="B5" s="25" t="s">
        <v>182</v>
      </c>
      <c r="C5" s="148" t="s">
        <v>180</v>
      </c>
      <c r="D5" s="17"/>
      <c r="E5" s="149">
        <v>3</v>
      </c>
      <c r="F5" s="150"/>
      <c r="G5" s="144">
        <v>1587.6000000000001</v>
      </c>
      <c r="H5" s="163">
        <v>2067.6000000000004</v>
      </c>
      <c r="I5" s="144">
        <v>2116.8000000000002</v>
      </c>
      <c r="J5" s="936">
        <v>2596.8000000000002</v>
      </c>
      <c r="K5" s="16" t="s">
        <v>181</v>
      </c>
      <c r="L5" s="151"/>
      <c r="M5" s="146">
        <v>46065</v>
      </c>
    </row>
    <row r="6" spans="1:70" x14ac:dyDescent="0.35">
      <c r="A6" s="139">
        <v>3</v>
      </c>
      <c r="B6" s="152" t="s">
        <v>183</v>
      </c>
      <c r="C6" s="148" t="s">
        <v>184</v>
      </c>
      <c r="D6" s="17">
        <v>1</v>
      </c>
      <c r="E6" s="153">
        <v>1</v>
      </c>
      <c r="F6" s="154"/>
      <c r="G6" s="653">
        <v>314</v>
      </c>
      <c r="H6" s="155">
        <v>464</v>
      </c>
      <c r="I6" s="156">
        <v>803</v>
      </c>
      <c r="J6" s="937">
        <v>953</v>
      </c>
      <c r="K6" s="17" t="s">
        <v>34</v>
      </c>
      <c r="L6" s="157"/>
      <c r="M6" s="158">
        <v>45909</v>
      </c>
    </row>
    <row r="7" spans="1:70" ht="36" x14ac:dyDescent="0.35">
      <c r="A7" s="139">
        <v>4</v>
      </c>
      <c r="B7" s="159" t="s">
        <v>185</v>
      </c>
      <c r="C7" s="148" t="s">
        <v>186</v>
      </c>
      <c r="D7" s="17">
        <v>1</v>
      </c>
      <c r="E7" s="153">
        <v>1</v>
      </c>
      <c r="F7" s="154"/>
      <c r="G7" s="653">
        <v>292</v>
      </c>
      <c r="H7" s="155">
        <v>442</v>
      </c>
      <c r="I7" s="156">
        <v>425</v>
      </c>
      <c r="J7" s="937">
        <v>575</v>
      </c>
      <c r="K7" s="17" t="s">
        <v>34</v>
      </c>
      <c r="L7" s="160"/>
      <c r="M7" s="158">
        <v>45805</v>
      </c>
      <c r="N7" s="161"/>
    </row>
    <row r="8" spans="1:70" ht="36" x14ac:dyDescent="0.35">
      <c r="A8" s="139">
        <v>5</v>
      </c>
      <c r="B8" s="159" t="s">
        <v>187</v>
      </c>
      <c r="C8" s="148" t="s">
        <v>186</v>
      </c>
      <c r="D8" s="17">
        <v>2</v>
      </c>
      <c r="E8" s="153">
        <v>1</v>
      </c>
      <c r="F8" s="154"/>
      <c r="G8" s="653">
        <v>544</v>
      </c>
      <c r="H8" s="155">
        <v>694</v>
      </c>
      <c r="I8" s="156">
        <v>795</v>
      </c>
      <c r="J8" s="937">
        <v>945</v>
      </c>
      <c r="K8" s="17" t="s">
        <v>34</v>
      </c>
      <c r="L8" s="160"/>
      <c r="M8" s="158">
        <v>45805</v>
      </c>
      <c r="N8" s="161"/>
    </row>
    <row r="9" spans="1:70" ht="54" x14ac:dyDescent="0.35">
      <c r="A9" s="139">
        <v>6</v>
      </c>
      <c r="B9" s="25" t="s">
        <v>188</v>
      </c>
      <c r="C9" s="162" t="s">
        <v>189</v>
      </c>
      <c r="D9" s="17"/>
      <c r="E9" s="153">
        <v>7</v>
      </c>
      <c r="F9" s="154">
        <v>1</v>
      </c>
      <c r="G9" s="691">
        <v>4309.2000000000007</v>
      </c>
      <c r="H9" s="163">
        <v>5429.2000000000007</v>
      </c>
      <c r="I9" s="144">
        <v>5670</v>
      </c>
      <c r="J9" s="936">
        <v>6790</v>
      </c>
      <c r="K9" s="17" t="s">
        <v>190</v>
      </c>
      <c r="L9" s="151"/>
      <c r="M9" s="146">
        <v>46065</v>
      </c>
    </row>
    <row r="10" spans="1:70" ht="27.75" customHeight="1" x14ac:dyDescent="0.35">
      <c r="A10" s="139">
        <v>7</v>
      </c>
      <c r="B10" s="25" t="s">
        <v>191</v>
      </c>
      <c r="C10" s="148" t="s">
        <v>189</v>
      </c>
      <c r="D10" s="17"/>
      <c r="E10" s="153">
        <v>8</v>
      </c>
      <c r="F10" s="154"/>
      <c r="G10" s="691">
        <v>3061.8</v>
      </c>
      <c r="H10" s="163">
        <v>4341.8</v>
      </c>
      <c r="I10" s="144">
        <v>4498.2000000000007</v>
      </c>
      <c r="J10" s="936">
        <v>5778.2000000000007</v>
      </c>
      <c r="K10" s="17" t="s">
        <v>34</v>
      </c>
      <c r="L10" s="151"/>
      <c r="M10" s="146">
        <v>46065</v>
      </c>
    </row>
    <row r="11" spans="1:70" ht="22.5" customHeight="1" x14ac:dyDescent="0.35">
      <c r="A11" s="139">
        <v>8</v>
      </c>
      <c r="B11" s="25" t="s">
        <v>192</v>
      </c>
      <c r="C11" s="148" t="s">
        <v>193</v>
      </c>
      <c r="D11" s="17"/>
      <c r="E11" s="153">
        <v>7</v>
      </c>
      <c r="F11" s="154"/>
      <c r="G11" s="691">
        <v>2721.6000000000004</v>
      </c>
      <c r="H11" s="163">
        <v>3841.6000000000004</v>
      </c>
      <c r="I11" s="144">
        <v>3466.8</v>
      </c>
      <c r="J11" s="936">
        <v>4586.8</v>
      </c>
      <c r="K11" s="17" t="s">
        <v>34</v>
      </c>
      <c r="L11" s="151"/>
      <c r="M11" s="146">
        <v>46065</v>
      </c>
    </row>
    <row r="12" spans="1:70" x14ac:dyDescent="0.35">
      <c r="A12" s="139">
        <v>9</v>
      </c>
      <c r="B12" s="25" t="s">
        <v>194</v>
      </c>
      <c r="C12" s="148" t="s">
        <v>195</v>
      </c>
      <c r="D12" s="17"/>
      <c r="E12" s="153">
        <v>2</v>
      </c>
      <c r="F12" s="154"/>
      <c r="G12" s="691">
        <v>1474.2</v>
      </c>
      <c r="H12" s="163">
        <v>1794.2</v>
      </c>
      <c r="I12" s="144">
        <v>1987.2</v>
      </c>
      <c r="J12" s="936">
        <v>2307.1999999999998</v>
      </c>
      <c r="K12" s="17" t="s">
        <v>34</v>
      </c>
      <c r="L12" s="151"/>
      <c r="M12" s="146">
        <v>46065</v>
      </c>
      <c r="N12" s="161"/>
    </row>
    <row r="13" spans="1:70" x14ac:dyDescent="0.35">
      <c r="A13" s="139">
        <v>10</v>
      </c>
      <c r="B13" s="25" t="s">
        <v>196</v>
      </c>
      <c r="C13" s="148" t="s">
        <v>197</v>
      </c>
      <c r="D13" s="17">
        <v>3</v>
      </c>
      <c r="E13" s="153">
        <v>1</v>
      </c>
      <c r="F13" s="154"/>
      <c r="G13" s="691">
        <v>907.2</v>
      </c>
      <c r="H13" s="163">
        <v>1067.2</v>
      </c>
      <c r="I13" s="144">
        <v>1090.8000000000002</v>
      </c>
      <c r="J13" s="936">
        <v>1250.8000000000002</v>
      </c>
      <c r="K13" s="17" t="s">
        <v>34</v>
      </c>
      <c r="L13" s="151"/>
      <c r="M13" s="146">
        <v>46065</v>
      </c>
    </row>
    <row r="14" spans="1:70" x14ac:dyDescent="0.35">
      <c r="A14" s="139">
        <v>11</v>
      </c>
      <c r="B14" s="25" t="s">
        <v>198</v>
      </c>
      <c r="C14" s="148" t="s">
        <v>197</v>
      </c>
      <c r="D14" s="17">
        <v>1</v>
      </c>
      <c r="E14" s="153">
        <v>1</v>
      </c>
      <c r="F14" s="154"/>
      <c r="G14" s="691">
        <v>453.6</v>
      </c>
      <c r="H14" s="163">
        <v>613.6</v>
      </c>
      <c r="I14" s="144">
        <v>642.6</v>
      </c>
      <c r="J14" s="936">
        <v>802.6</v>
      </c>
      <c r="K14" s="17" t="s">
        <v>34</v>
      </c>
      <c r="L14" s="151"/>
      <c r="M14" s="146">
        <v>46065</v>
      </c>
    </row>
    <row r="15" spans="1:70" ht="18.75" customHeight="1" x14ac:dyDescent="0.35">
      <c r="A15" s="139">
        <v>12</v>
      </c>
      <c r="B15" s="25" t="s">
        <v>199</v>
      </c>
      <c r="C15" s="148" t="s">
        <v>200</v>
      </c>
      <c r="D15" s="17"/>
      <c r="E15" s="153">
        <v>4</v>
      </c>
      <c r="F15" s="154"/>
      <c r="G15" s="691">
        <v>1587.6000000000001</v>
      </c>
      <c r="H15" s="163">
        <v>2227.6000000000004</v>
      </c>
      <c r="I15" s="144">
        <v>2311.2000000000003</v>
      </c>
      <c r="J15" s="936">
        <v>2951.2000000000003</v>
      </c>
      <c r="K15" s="17" t="s">
        <v>34</v>
      </c>
      <c r="L15" s="151"/>
      <c r="M15" s="146">
        <v>46065</v>
      </c>
    </row>
    <row r="16" spans="1:70" ht="36" x14ac:dyDescent="0.35">
      <c r="A16" s="139">
        <v>13</v>
      </c>
      <c r="B16" s="25" t="s">
        <v>201</v>
      </c>
      <c r="C16" s="148" t="s">
        <v>202</v>
      </c>
      <c r="D16" s="17"/>
      <c r="E16" s="149">
        <v>11</v>
      </c>
      <c r="F16" s="150">
        <v>1</v>
      </c>
      <c r="G16" s="691">
        <v>6407.64</v>
      </c>
      <c r="H16" s="163">
        <v>8167.64</v>
      </c>
      <c r="I16" s="144">
        <v>8051.4000000000005</v>
      </c>
      <c r="J16" s="936">
        <v>9811.4000000000015</v>
      </c>
      <c r="K16" s="17" t="s">
        <v>190</v>
      </c>
      <c r="L16" s="151"/>
      <c r="M16" s="146">
        <v>46065</v>
      </c>
    </row>
    <row r="17" spans="1:14" x14ac:dyDescent="0.35">
      <c r="A17" s="139">
        <v>14</v>
      </c>
      <c r="B17" s="159" t="s">
        <v>203</v>
      </c>
      <c r="C17" s="148" t="s">
        <v>204</v>
      </c>
      <c r="D17" s="80">
        <v>0.5</v>
      </c>
      <c r="E17" s="164">
        <v>1</v>
      </c>
      <c r="F17" s="48"/>
      <c r="G17" s="653">
        <v>347</v>
      </c>
      <c r="H17" s="155">
        <v>497</v>
      </c>
      <c r="I17" s="156">
        <v>465</v>
      </c>
      <c r="J17" s="937">
        <v>615</v>
      </c>
      <c r="K17" s="17" t="s">
        <v>34</v>
      </c>
      <c r="L17" s="160"/>
      <c r="M17" s="165">
        <v>45805</v>
      </c>
      <c r="N17" s="161"/>
    </row>
    <row r="18" spans="1:14" x14ac:dyDescent="0.35">
      <c r="A18" s="139">
        <v>15</v>
      </c>
      <c r="B18" s="25" t="s">
        <v>205</v>
      </c>
      <c r="C18" s="148" t="s">
        <v>206</v>
      </c>
      <c r="D18" s="80"/>
      <c r="E18" s="164">
        <v>3</v>
      </c>
      <c r="F18" s="48"/>
      <c r="G18" s="691">
        <v>1490.4</v>
      </c>
      <c r="H18" s="163">
        <v>1970.4</v>
      </c>
      <c r="I18" s="144">
        <v>1871.64</v>
      </c>
      <c r="J18" s="936">
        <v>2351.6400000000003</v>
      </c>
      <c r="K18" s="17" t="s">
        <v>34</v>
      </c>
      <c r="L18" s="151"/>
      <c r="M18" s="146">
        <v>46065</v>
      </c>
    </row>
    <row r="19" spans="1:14" ht="33.75" customHeight="1" x14ac:dyDescent="0.35">
      <c r="A19" s="139">
        <v>16</v>
      </c>
      <c r="B19" s="25" t="s">
        <v>207</v>
      </c>
      <c r="C19" s="162" t="s">
        <v>208</v>
      </c>
      <c r="D19" s="80"/>
      <c r="E19" s="164">
        <v>7</v>
      </c>
      <c r="F19" s="48"/>
      <c r="G19" s="691">
        <v>4309.2000000000007</v>
      </c>
      <c r="H19" s="163">
        <v>5429.2000000000007</v>
      </c>
      <c r="I19" s="144">
        <v>5670</v>
      </c>
      <c r="J19" s="936">
        <v>6790</v>
      </c>
      <c r="K19" s="17" t="s">
        <v>190</v>
      </c>
      <c r="L19" s="151"/>
      <c r="M19" s="146">
        <v>46065</v>
      </c>
    </row>
    <row r="20" spans="1:14" ht="70.5" customHeight="1" x14ac:dyDescent="0.35">
      <c r="A20" s="139">
        <v>17</v>
      </c>
      <c r="B20" s="1174" t="s">
        <v>209</v>
      </c>
      <c r="C20" s="1164" t="s">
        <v>210</v>
      </c>
      <c r="D20" s="16"/>
      <c r="E20" s="1165">
        <v>1</v>
      </c>
      <c r="F20" s="1166"/>
      <c r="G20" s="1167">
        <v>738</v>
      </c>
      <c r="H20" s="1168">
        <v>898</v>
      </c>
      <c r="I20" s="1169">
        <v>864</v>
      </c>
      <c r="J20" s="1173">
        <v>1024</v>
      </c>
      <c r="K20" s="1170" t="s">
        <v>1237</v>
      </c>
      <c r="L20" s="1171" t="s">
        <v>1238</v>
      </c>
      <c r="M20" s="1172">
        <v>46065</v>
      </c>
    </row>
    <row r="21" spans="1:14" ht="36" x14ac:dyDescent="0.35">
      <c r="A21" s="139">
        <v>18</v>
      </c>
      <c r="B21" s="140" t="s">
        <v>211</v>
      </c>
      <c r="C21" s="222" t="s">
        <v>212</v>
      </c>
      <c r="D21" s="142"/>
      <c r="E21" s="283">
        <v>2</v>
      </c>
      <c r="F21" s="353"/>
      <c r="G21" s="691">
        <v>1020.6</v>
      </c>
      <c r="H21" s="163">
        <v>1340.6</v>
      </c>
      <c r="I21" s="144">
        <v>1155.6000000000001</v>
      </c>
      <c r="J21" s="936">
        <v>1475.6000000000001</v>
      </c>
      <c r="K21" s="284" t="s">
        <v>34</v>
      </c>
      <c r="L21" s="145"/>
      <c r="M21" s="146">
        <v>46065</v>
      </c>
    </row>
    <row r="22" spans="1:14" ht="36" x14ac:dyDescent="0.35">
      <c r="A22" s="139">
        <v>19</v>
      </c>
      <c r="B22" s="25" t="s">
        <v>213</v>
      </c>
      <c r="C22" s="148" t="s">
        <v>212</v>
      </c>
      <c r="D22" s="80">
        <v>1.5</v>
      </c>
      <c r="E22" s="166">
        <v>1</v>
      </c>
      <c r="F22" s="167"/>
      <c r="G22" s="691">
        <v>453.6</v>
      </c>
      <c r="H22" s="163">
        <v>613.6</v>
      </c>
      <c r="I22" s="144">
        <v>642.6</v>
      </c>
      <c r="J22" s="936">
        <v>802.6</v>
      </c>
      <c r="K22" s="17" t="s">
        <v>34</v>
      </c>
      <c r="L22" s="151"/>
      <c r="M22" s="146">
        <v>46065</v>
      </c>
    </row>
    <row r="23" spans="1:14" ht="82.5" x14ac:dyDescent="0.35">
      <c r="A23" s="139">
        <v>20</v>
      </c>
      <c r="B23" s="25" t="s">
        <v>1240</v>
      </c>
      <c r="C23" s="148" t="s">
        <v>1229</v>
      </c>
      <c r="D23" s="80" t="s">
        <v>1242</v>
      </c>
      <c r="E23" s="166"/>
      <c r="F23" s="167"/>
      <c r="G23" s="691">
        <v>400</v>
      </c>
      <c r="H23" s="163"/>
      <c r="I23" s="144"/>
      <c r="J23" s="936"/>
      <c r="K23" s="17"/>
      <c r="L23" s="1175" t="s">
        <v>1241</v>
      </c>
      <c r="M23" s="146">
        <v>46114</v>
      </c>
    </row>
    <row r="24" spans="1:14" x14ac:dyDescent="0.35">
      <c r="A24" s="139">
        <v>21</v>
      </c>
      <c r="B24" s="25" t="s">
        <v>214</v>
      </c>
      <c r="C24" s="162" t="s">
        <v>215</v>
      </c>
      <c r="D24" s="17"/>
      <c r="E24" s="166">
        <v>8</v>
      </c>
      <c r="F24" s="167"/>
      <c r="G24" s="691">
        <v>4195.8</v>
      </c>
      <c r="H24" s="163">
        <v>5475.8</v>
      </c>
      <c r="I24" s="144">
        <v>5670</v>
      </c>
      <c r="J24" s="936">
        <v>6950</v>
      </c>
      <c r="K24" s="17" t="s">
        <v>190</v>
      </c>
      <c r="L24" s="151"/>
      <c r="M24" s="146">
        <v>46065</v>
      </c>
    </row>
    <row r="25" spans="1:14" x14ac:dyDescent="0.35">
      <c r="A25" s="139">
        <v>22</v>
      </c>
      <c r="B25" s="25" t="s">
        <v>216</v>
      </c>
      <c r="C25" s="148" t="s">
        <v>200</v>
      </c>
      <c r="D25" s="80"/>
      <c r="E25" s="166">
        <v>5</v>
      </c>
      <c r="F25" s="167"/>
      <c r="G25" s="691">
        <v>1728</v>
      </c>
      <c r="H25" s="163">
        <v>2528</v>
      </c>
      <c r="I25" s="144">
        <v>2106</v>
      </c>
      <c r="J25" s="936">
        <v>2906</v>
      </c>
      <c r="K25" s="17" t="s">
        <v>34</v>
      </c>
      <c r="L25" s="151"/>
      <c r="M25" s="146">
        <v>46065</v>
      </c>
    </row>
    <row r="26" spans="1:14" x14ac:dyDescent="0.35">
      <c r="A26" s="139">
        <v>23</v>
      </c>
      <c r="B26" s="25" t="s">
        <v>217</v>
      </c>
      <c r="C26" s="162" t="s">
        <v>200</v>
      </c>
      <c r="D26" s="80"/>
      <c r="E26" s="166">
        <v>7</v>
      </c>
      <c r="F26" s="167"/>
      <c r="G26" s="691">
        <v>2322</v>
      </c>
      <c r="H26" s="163">
        <v>3442</v>
      </c>
      <c r="I26" s="144">
        <v>3078</v>
      </c>
      <c r="J26" s="936">
        <v>4198</v>
      </c>
      <c r="K26" s="17" t="s">
        <v>34</v>
      </c>
      <c r="L26" s="151"/>
      <c r="M26" s="146">
        <v>46065</v>
      </c>
    </row>
    <row r="27" spans="1:14" ht="45" customHeight="1" x14ac:dyDescent="0.35">
      <c r="A27" s="139">
        <v>24</v>
      </c>
      <c r="B27" s="159" t="s">
        <v>218</v>
      </c>
      <c r="C27" s="168" t="s">
        <v>197</v>
      </c>
      <c r="D27" s="17">
        <v>0.5</v>
      </c>
      <c r="E27" s="166">
        <v>1</v>
      </c>
      <c r="F27" s="167"/>
      <c r="G27" s="653">
        <v>225</v>
      </c>
      <c r="H27" s="155">
        <v>375</v>
      </c>
      <c r="I27" s="156">
        <v>355</v>
      </c>
      <c r="J27" s="937">
        <v>505</v>
      </c>
      <c r="K27" s="80" t="s">
        <v>219</v>
      </c>
      <c r="L27" s="160"/>
      <c r="M27" s="165">
        <v>45805</v>
      </c>
      <c r="N27" s="161"/>
    </row>
    <row r="28" spans="1:14" x14ac:dyDescent="0.35">
      <c r="A28" s="139">
        <v>25</v>
      </c>
      <c r="B28" s="25" t="s">
        <v>220</v>
      </c>
      <c r="C28" s="148" t="s">
        <v>221</v>
      </c>
      <c r="D28" s="17"/>
      <c r="E28" s="166">
        <v>1</v>
      </c>
      <c r="F28" s="167"/>
      <c r="G28" s="691">
        <v>734.40000000000009</v>
      </c>
      <c r="H28" s="163">
        <v>894.40000000000009</v>
      </c>
      <c r="I28" s="144">
        <v>1026</v>
      </c>
      <c r="J28" s="936">
        <v>1186</v>
      </c>
      <c r="K28" s="17" t="s">
        <v>34</v>
      </c>
      <c r="L28" s="151"/>
      <c r="M28" s="146">
        <v>46065</v>
      </c>
    </row>
    <row r="29" spans="1:14" ht="36" customHeight="1" x14ac:dyDescent="0.35">
      <c r="A29" s="139">
        <v>26</v>
      </c>
      <c r="B29" s="25" t="s">
        <v>222</v>
      </c>
      <c r="C29" s="148" t="s">
        <v>223</v>
      </c>
      <c r="D29" s="17"/>
      <c r="E29" s="166">
        <v>4</v>
      </c>
      <c r="F29" s="167"/>
      <c r="G29" s="691">
        <v>1587.6000000000001</v>
      </c>
      <c r="H29" s="163">
        <v>2227.6000000000004</v>
      </c>
      <c r="I29" s="144">
        <v>2106</v>
      </c>
      <c r="J29" s="936">
        <v>2746</v>
      </c>
      <c r="K29" s="17" t="s">
        <v>34</v>
      </c>
      <c r="L29" s="169" t="s">
        <v>224</v>
      </c>
      <c r="M29" s="146">
        <v>46065</v>
      </c>
    </row>
    <row r="30" spans="1:14" x14ac:dyDescent="0.35">
      <c r="A30" s="139">
        <v>27</v>
      </c>
      <c r="B30" s="25" t="s">
        <v>225</v>
      </c>
      <c r="C30" s="148" t="s">
        <v>226</v>
      </c>
      <c r="D30" s="17"/>
      <c r="E30" s="166">
        <v>1</v>
      </c>
      <c r="F30" s="167"/>
      <c r="G30" s="691">
        <v>658.80000000000007</v>
      </c>
      <c r="H30" s="163">
        <v>818.80000000000007</v>
      </c>
      <c r="I30" s="144">
        <v>896.40000000000009</v>
      </c>
      <c r="J30" s="936">
        <v>1056.4000000000001</v>
      </c>
      <c r="K30" s="17" t="s">
        <v>34</v>
      </c>
      <c r="L30" s="151"/>
      <c r="M30" s="146">
        <v>46065</v>
      </c>
    </row>
    <row r="31" spans="1:14" x14ac:dyDescent="0.35">
      <c r="A31" s="139">
        <v>28</v>
      </c>
      <c r="B31" s="159" t="s">
        <v>227</v>
      </c>
      <c r="C31" s="148" t="s">
        <v>186</v>
      </c>
      <c r="D31" s="17">
        <v>1.5</v>
      </c>
      <c r="E31" s="166">
        <v>1</v>
      </c>
      <c r="F31" s="167"/>
      <c r="G31" s="653">
        <v>541</v>
      </c>
      <c r="H31" s="155">
        <v>691</v>
      </c>
      <c r="I31" s="156">
        <v>745</v>
      </c>
      <c r="J31" s="937">
        <v>895</v>
      </c>
      <c r="K31" s="17" t="s">
        <v>34</v>
      </c>
      <c r="L31" s="160"/>
      <c r="M31" s="165">
        <v>45805</v>
      </c>
    </row>
    <row r="32" spans="1:14" ht="36" x14ac:dyDescent="0.35">
      <c r="A32" s="139">
        <v>29</v>
      </c>
      <c r="B32" s="25" t="s">
        <v>228</v>
      </c>
      <c r="C32" s="148" t="s">
        <v>229</v>
      </c>
      <c r="D32" s="17"/>
      <c r="E32" s="166">
        <v>2</v>
      </c>
      <c r="F32" s="167"/>
      <c r="G32" s="691">
        <v>1188</v>
      </c>
      <c r="H32" s="163">
        <v>1508</v>
      </c>
      <c r="I32" s="144">
        <v>1576.8000000000002</v>
      </c>
      <c r="J32" s="936">
        <v>1896.8000000000002</v>
      </c>
      <c r="K32" s="17" t="s">
        <v>34</v>
      </c>
      <c r="L32" s="151"/>
      <c r="M32" s="146">
        <v>46065</v>
      </c>
    </row>
    <row r="33" spans="1:14" x14ac:dyDescent="0.35">
      <c r="A33" s="139">
        <v>30</v>
      </c>
      <c r="B33" s="25" t="s">
        <v>230</v>
      </c>
      <c r="C33" s="148" t="s">
        <v>186</v>
      </c>
      <c r="D33" s="17"/>
      <c r="E33" s="166">
        <v>1</v>
      </c>
      <c r="F33" s="167"/>
      <c r="G33" s="691">
        <v>907.2</v>
      </c>
      <c r="H33" s="163">
        <v>1067.2</v>
      </c>
      <c r="I33" s="144">
        <v>1090.8000000000002</v>
      </c>
      <c r="J33" s="936">
        <v>1250.8000000000002</v>
      </c>
      <c r="K33" s="17" t="s">
        <v>34</v>
      </c>
      <c r="L33" s="151"/>
      <c r="M33" s="146">
        <v>46065</v>
      </c>
    </row>
    <row r="34" spans="1:14" x14ac:dyDescent="0.35">
      <c r="A34" s="139">
        <v>31</v>
      </c>
      <c r="B34" s="25" t="s">
        <v>231</v>
      </c>
      <c r="C34" s="148" t="s">
        <v>232</v>
      </c>
      <c r="D34" s="80"/>
      <c r="E34" s="166">
        <v>1</v>
      </c>
      <c r="F34" s="167"/>
      <c r="G34" s="691">
        <v>680.40000000000009</v>
      </c>
      <c r="H34" s="163">
        <v>840.40000000000009</v>
      </c>
      <c r="I34" s="144">
        <v>772.2</v>
      </c>
      <c r="J34" s="936">
        <v>932.2</v>
      </c>
      <c r="K34" s="17" t="s">
        <v>34</v>
      </c>
      <c r="L34" s="151"/>
      <c r="M34" s="146">
        <v>46065</v>
      </c>
    </row>
    <row r="35" spans="1:14" ht="36" x14ac:dyDescent="0.35">
      <c r="A35" s="139">
        <v>32</v>
      </c>
      <c r="B35" s="159" t="s">
        <v>233</v>
      </c>
      <c r="C35" s="148" t="s">
        <v>234</v>
      </c>
      <c r="D35" s="80">
        <v>1</v>
      </c>
      <c r="E35" s="164">
        <v>1</v>
      </c>
      <c r="F35" s="48"/>
      <c r="G35" s="653">
        <v>809</v>
      </c>
      <c r="H35" s="155">
        <v>959</v>
      </c>
      <c r="I35" s="156">
        <v>1245</v>
      </c>
      <c r="J35" s="937">
        <v>1395</v>
      </c>
      <c r="K35" s="17" t="s">
        <v>34</v>
      </c>
      <c r="L35" s="160"/>
      <c r="M35" s="165">
        <v>45805</v>
      </c>
    </row>
    <row r="36" spans="1:14" ht="54" x14ac:dyDescent="0.35">
      <c r="A36" s="139">
        <v>33</v>
      </c>
      <c r="B36" s="25" t="s">
        <v>235</v>
      </c>
      <c r="C36" s="148" t="s">
        <v>236</v>
      </c>
      <c r="D36" s="17"/>
      <c r="E36" s="164">
        <v>1</v>
      </c>
      <c r="F36" s="48"/>
      <c r="G36" s="691">
        <v>737.6400000000001</v>
      </c>
      <c r="H36" s="163">
        <v>897.6400000000001</v>
      </c>
      <c r="I36" s="144">
        <v>1026</v>
      </c>
      <c r="J36" s="936">
        <v>1186</v>
      </c>
      <c r="K36" s="17" t="s">
        <v>34</v>
      </c>
      <c r="L36" s="169" t="s">
        <v>224</v>
      </c>
      <c r="M36" s="146">
        <v>46065</v>
      </c>
    </row>
    <row r="37" spans="1:14" ht="36" x14ac:dyDescent="0.35">
      <c r="A37" s="139">
        <v>34</v>
      </c>
      <c r="B37" s="159" t="s">
        <v>237</v>
      </c>
      <c r="C37" s="148" t="s">
        <v>238</v>
      </c>
      <c r="D37" s="17">
        <v>1</v>
      </c>
      <c r="E37" s="164">
        <v>1</v>
      </c>
      <c r="F37" s="48"/>
      <c r="G37" s="653">
        <v>464</v>
      </c>
      <c r="H37" s="155">
        <v>614</v>
      </c>
      <c r="I37" s="156">
        <v>765</v>
      </c>
      <c r="J37" s="937">
        <v>915</v>
      </c>
      <c r="K37" s="17" t="s">
        <v>34</v>
      </c>
      <c r="L37" s="160"/>
      <c r="M37" s="165">
        <v>45805</v>
      </c>
      <c r="N37" s="161"/>
    </row>
    <row r="38" spans="1:14" x14ac:dyDescent="0.35">
      <c r="A38" s="139">
        <v>35</v>
      </c>
      <c r="B38" s="25" t="s">
        <v>239</v>
      </c>
      <c r="C38" s="148" t="s">
        <v>212</v>
      </c>
      <c r="D38" s="17">
        <v>0.5</v>
      </c>
      <c r="E38" s="164">
        <v>1</v>
      </c>
      <c r="F38" s="48"/>
      <c r="G38" s="691">
        <v>397.44000000000005</v>
      </c>
      <c r="H38" s="163">
        <v>557.44000000000005</v>
      </c>
      <c r="I38" s="144">
        <v>642.6</v>
      </c>
      <c r="J38" s="936">
        <v>802.6</v>
      </c>
      <c r="K38" s="17" t="s">
        <v>34</v>
      </c>
      <c r="L38" s="151"/>
      <c r="M38" s="146">
        <v>46065</v>
      </c>
    </row>
    <row r="39" spans="1:14" x14ac:dyDescent="0.35">
      <c r="A39" s="139">
        <v>36</v>
      </c>
      <c r="B39" s="25" t="s">
        <v>240</v>
      </c>
      <c r="C39" s="148" t="s">
        <v>241</v>
      </c>
      <c r="D39" s="17"/>
      <c r="E39" s="164">
        <v>3</v>
      </c>
      <c r="F39" s="48"/>
      <c r="G39" s="691">
        <v>1701</v>
      </c>
      <c r="H39" s="163">
        <v>2181</v>
      </c>
      <c r="I39" s="144">
        <v>2570.4</v>
      </c>
      <c r="J39" s="936">
        <v>3050.4</v>
      </c>
      <c r="K39" s="17" t="s">
        <v>34</v>
      </c>
      <c r="L39" s="151"/>
      <c r="M39" s="146">
        <v>46065</v>
      </c>
    </row>
    <row r="40" spans="1:14" ht="36" x14ac:dyDescent="0.35">
      <c r="A40" s="139">
        <v>37</v>
      </c>
      <c r="B40" s="25" t="s">
        <v>242</v>
      </c>
      <c r="C40" s="148" t="s">
        <v>243</v>
      </c>
      <c r="D40" s="17"/>
      <c r="E40" s="164">
        <v>3</v>
      </c>
      <c r="F40" s="48"/>
      <c r="G40" s="691">
        <v>1360.8000000000002</v>
      </c>
      <c r="H40" s="163">
        <v>1840.8000000000002</v>
      </c>
      <c r="I40" s="144">
        <v>1674</v>
      </c>
      <c r="J40" s="936">
        <v>2154</v>
      </c>
      <c r="K40" s="17" t="s">
        <v>34</v>
      </c>
      <c r="L40" s="151"/>
      <c r="M40" s="146">
        <v>46065</v>
      </c>
    </row>
    <row r="41" spans="1:14" ht="36" x14ac:dyDescent="0.35">
      <c r="A41" s="139">
        <v>38</v>
      </c>
      <c r="B41" s="25" t="s">
        <v>244</v>
      </c>
      <c r="C41" s="148" t="s">
        <v>202</v>
      </c>
      <c r="D41" s="17"/>
      <c r="E41" s="164">
        <v>8</v>
      </c>
      <c r="F41" s="48">
        <v>1</v>
      </c>
      <c r="G41" s="691">
        <v>5184</v>
      </c>
      <c r="H41" s="163">
        <v>6464</v>
      </c>
      <c r="I41" s="144">
        <v>7020.0000000000009</v>
      </c>
      <c r="J41" s="936">
        <v>8300</v>
      </c>
      <c r="K41" s="17" t="s">
        <v>245</v>
      </c>
      <c r="L41" s="151"/>
      <c r="M41" s="146">
        <v>46065</v>
      </c>
    </row>
    <row r="42" spans="1:14" x14ac:dyDescent="0.35">
      <c r="A42" s="139">
        <v>39</v>
      </c>
      <c r="B42" s="25" t="s">
        <v>246</v>
      </c>
      <c r="C42" s="148" t="s">
        <v>247</v>
      </c>
      <c r="D42" s="80"/>
      <c r="E42" s="164">
        <v>1</v>
      </c>
      <c r="F42" s="48"/>
      <c r="G42" s="691">
        <v>907.2</v>
      </c>
      <c r="H42" s="163">
        <v>1067.2</v>
      </c>
      <c r="I42" s="144">
        <v>1155.6000000000001</v>
      </c>
      <c r="J42" s="936">
        <v>1315.6000000000001</v>
      </c>
      <c r="K42" s="17" t="s">
        <v>34</v>
      </c>
      <c r="L42" s="151"/>
      <c r="M42" s="146">
        <v>46065</v>
      </c>
    </row>
    <row r="43" spans="1:14" ht="36.75" customHeight="1" x14ac:dyDescent="0.35">
      <c r="A43" s="139">
        <v>40</v>
      </c>
      <c r="B43" s="25" t="s">
        <v>248</v>
      </c>
      <c r="C43" s="148" t="s">
        <v>204</v>
      </c>
      <c r="D43" s="80"/>
      <c r="E43" s="164">
        <v>1</v>
      </c>
      <c r="F43" s="48"/>
      <c r="G43" s="691">
        <v>280.8</v>
      </c>
      <c r="H43" s="163">
        <v>440.8</v>
      </c>
      <c r="I43" s="144">
        <v>378</v>
      </c>
      <c r="J43" s="936">
        <v>538</v>
      </c>
      <c r="K43" s="80" t="s">
        <v>219</v>
      </c>
      <c r="L43" s="151"/>
      <c r="M43" s="146">
        <v>46065</v>
      </c>
    </row>
    <row r="44" spans="1:14" ht="21" customHeight="1" x14ac:dyDescent="0.35">
      <c r="A44" s="139">
        <v>41</v>
      </c>
      <c r="B44" s="25" t="s">
        <v>249</v>
      </c>
      <c r="C44" s="148" t="s">
        <v>204</v>
      </c>
      <c r="D44" s="17"/>
      <c r="E44" s="170" t="s">
        <v>250</v>
      </c>
      <c r="F44" s="48"/>
      <c r="G44" s="691">
        <v>340.20000000000005</v>
      </c>
      <c r="H44" s="163">
        <v>500.20000000000005</v>
      </c>
      <c r="I44" s="144">
        <v>388.8</v>
      </c>
      <c r="J44" s="936">
        <v>548.79999999999995</v>
      </c>
      <c r="K44" s="17" t="s">
        <v>34</v>
      </c>
      <c r="L44" s="151"/>
      <c r="M44" s="146">
        <v>46065</v>
      </c>
    </row>
    <row r="45" spans="1:14" ht="36" x14ac:dyDescent="0.35">
      <c r="A45" s="139">
        <v>42</v>
      </c>
      <c r="B45" s="25" t="s">
        <v>251</v>
      </c>
      <c r="C45" s="148" t="s">
        <v>252</v>
      </c>
      <c r="D45" s="53"/>
      <c r="E45" s="166">
        <v>2</v>
      </c>
      <c r="F45" s="53"/>
      <c r="G45" s="691">
        <v>1247.4000000000001</v>
      </c>
      <c r="H45" s="163">
        <v>1567.4</v>
      </c>
      <c r="I45" s="144">
        <v>1944.0000000000002</v>
      </c>
      <c r="J45" s="936">
        <v>2264</v>
      </c>
      <c r="K45" s="17" t="s">
        <v>34</v>
      </c>
      <c r="L45" s="151"/>
      <c r="M45" s="146">
        <v>46065</v>
      </c>
    </row>
    <row r="46" spans="1:14" ht="36" x14ac:dyDescent="0.35">
      <c r="A46" s="139">
        <v>43</v>
      </c>
      <c r="B46" s="25" t="s">
        <v>253</v>
      </c>
      <c r="C46" s="148" t="s">
        <v>252</v>
      </c>
      <c r="D46" s="53"/>
      <c r="E46" s="171">
        <v>2</v>
      </c>
      <c r="F46" s="172"/>
      <c r="G46" s="691">
        <v>1020.6</v>
      </c>
      <c r="H46" s="163">
        <v>1340.6</v>
      </c>
      <c r="I46" s="144">
        <v>1285.2</v>
      </c>
      <c r="J46" s="936">
        <v>1605.2</v>
      </c>
      <c r="K46" s="17" t="s">
        <v>34</v>
      </c>
      <c r="L46" s="151"/>
      <c r="M46" s="146">
        <v>46065</v>
      </c>
    </row>
    <row r="47" spans="1:14" ht="34.5" customHeight="1" x14ac:dyDescent="0.35">
      <c r="A47" s="139">
        <v>44</v>
      </c>
      <c r="B47" s="25" t="s">
        <v>254</v>
      </c>
      <c r="C47" s="148" t="s">
        <v>255</v>
      </c>
      <c r="D47" s="173"/>
      <c r="E47" s="170">
        <v>4</v>
      </c>
      <c r="F47" s="173"/>
      <c r="G47" s="691">
        <v>2440.8000000000002</v>
      </c>
      <c r="H47" s="163">
        <v>3080.8</v>
      </c>
      <c r="I47" s="144">
        <v>2970</v>
      </c>
      <c r="J47" s="936">
        <v>3610</v>
      </c>
      <c r="K47" s="17" t="s">
        <v>34</v>
      </c>
      <c r="L47" s="151"/>
      <c r="M47" s="146">
        <v>46065</v>
      </c>
    </row>
    <row r="48" spans="1:14" ht="36" x14ac:dyDescent="0.35">
      <c r="A48" s="139">
        <v>45</v>
      </c>
      <c r="B48" s="25" t="s">
        <v>256</v>
      </c>
      <c r="C48" s="148" t="s">
        <v>257</v>
      </c>
      <c r="D48" s="173"/>
      <c r="E48" s="170">
        <v>2</v>
      </c>
      <c r="F48" s="173"/>
      <c r="G48" s="691">
        <v>1544.4</v>
      </c>
      <c r="H48" s="163">
        <v>1864.4</v>
      </c>
      <c r="I48" s="144">
        <v>1944.0000000000002</v>
      </c>
      <c r="J48" s="936">
        <v>2264</v>
      </c>
      <c r="K48" s="17" t="s">
        <v>34</v>
      </c>
      <c r="L48" s="151"/>
      <c r="M48" s="146">
        <v>46065</v>
      </c>
    </row>
    <row r="49" spans="1:13" ht="23.25" customHeight="1" x14ac:dyDescent="0.35">
      <c r="A49" s="139">
        <v>46</v>
      </c>
      <c r="B49" s="159" t="s">
        <v>258</v>
      </c>
      <c r="C49" s="148" t="s">
        <v>234</v>
      </c>
      <c r="D49" s="174">
        <v>1</v>
      </c>
      <c r="E49" s="170">
        <v>1</v>
      </c>
      <c r="F49" s="173"/>
      <c r="G49" s="653">
        <v>673</v>
      </c>
      <c r="H49" s="155">
        <v>823</v>
      </c>
      <c r="I49" s="175">
        <v>1025</v>
      </c>
      <c r="J49" s="938">
        <v>1175</v>
      </c>
      <c r="K49" s="17" t="s">
        <v>34</v>
      </c>
      <c r="L49" s="160"/>
      <c r="M49" s="165">
        <v>45805</v>
      </c>
    </row>
    <row r="50" spans="1:13" ht="30.75" customHeight="1" x14ac:dyDescent="0.35">
      <c r="A50" s="139">
        <v>47</v>
      </c>
      <c r="B50" s="176" t="s">
        <v>259</v>
      </c>
      <c r="C50" s="177" t="s">
        <v>260</v>
      </c>
      <c r="D50" s="173"/>
      <c r="E50" s="166">
        <v>4</v>
      </c>
      <c r="F50" s="178"/>
      <c r="G50" s="144">
        <v>2916</v>
      </c>
      <c r="H50" s="163">
        <v>3556</v>
      </c>
      <c r="I50" s="144">
        <v>3186</v>
      </c>
      <c r="J50" s="936">
        <v>3826</v>
      </c>
      <c r="K50" s="17" t="s">
        <v>34</v>
      </c>
      <c r="L50" s="151"/>
      <c r="M50" s="146">
        <v>46065</v>
      </c>
    </row>
    <row r="51" spans="1:13" ht="36" x14ac:dyDescent="0.35">
      <c r="A51" s="139">
        <v>48</v>
      </c>
      <c r="B51" s="25" t="s">
        <v>261</v>
      </c>
      <c r="C51" s="148" t="s">
        <v>215</v>
      </c>
      <c r="D51" s="173"/>
      <c r="E51" s="170">
        <v>8</v>
      </c>
      <c r="F51" s="179"/>
      <c r="G51" s="144">
        <v>3002.4</v>
      </c>
      <c r="H51" s="163">
        <v>4282.3999999999996</v>
      </c>
      <c r="I51" s="144">
        <v>4104</v>
      </c>
      <c r="J51" s="936">
        <v>5384</v>
      </c>
      <c r="K51" s="17" t="s">
        <v>34</v>
      </c>
      <c r="L51" s="151"/>
      <c r="M51" s="146">
        <v>46065</v>
      </c>
    </row>
    <row r="52" spans="1:13" ht="27.75" customHeight="1" x14ac:dyDescent="0.35">
      <c r="A52" s="139">
        <v>49</v>
      </c>
      <c r="B52" s="25" t="s">
        <v>262</v>
      </c>
      <c r="C52" s="148" t="s">
        <v>263</v>
      </c>
      <c r="D52" s="173"/>
      <c r="E52" s="170">
        <v>2</v>
      </c>
      <c r="F52" s="179"/>
      <c r="G52" s="144">
        <v>1188</v>
      </c>
      <c r="H52" s="163">
        <v>1508</v>
      </c>
      <c r="I52" s="144">
        <v>1620</v>
      </c>
      <c r="J52" s="936">
        <v>1940</v>
      </c>
      <c r="K52" s="17" t="s">
        <v>34</v>
      </c>
      <c r="L52" s="151"/>
      <c r="M52" s="146">
        <v>46065</v>
      </c>
    </row>
    <row r="53" spans="1:13" ht="36.75" thickBot="1" x14ac:dyDescent="0.4">
      <c r="A53" s="139">
        <v>50</v>
      </c>
      <c r="B53" s="181" t="s">
        <v>264</v>
      </c>
      <c r="C53" s="182" t="s">
        <v>265</v>
      </c>
      <c r="D53" s="183"/>
      <c r="E53" s="184">
        <v>3</v>
      </c>
      <c r="F53" s="185"/>
      <c r="G53" s="186">
        <v>1890.0000000000002</v>
      </c>
      <c r="H53" s="935">
        <v>2370</v>
      </c>
      <c r="I53" s="186">
        <v>2322</v>
      </c>
      <c r="J53" s="939">
        <v>2802</v>
      </c>
      <c r="K53" s="57" t="s">
        <v>34</v>
      </c>
      <c r="L53" s="187"/>
      <c r="M53" s="188">
        <v>46065</v>
      </c>
    </row>
    <row r="54" spans="1:13" ht="31.5" customHeight="1" thickBot="1" x14ac:dyDescent="0.4">
      <c r="A54" s="180"/>
      <c r="B54" s="189" t="s">
        <v>266</v>
      </c>
      <c r="C54" s="182"/>
      <c r="D54" s="183"/>
      <c r="E54" s="184"/>
      <c r="F54" s="185"/>
      <c r="G54" s="186"/>
      <c r="H54" s="186"/>
      <c r="I54" s="186"/>
      <c r="J54" s="186"/>
      <c r="K54" s="57"/>
      <c r="L54" s="187"/>
      <c r="M54" s="188"/>
    </row>
    <row r="55" spans="1:13" ht="78" customHeight="1" thickBot="1" x14ac:dyDescent="0.4">
      <c r="A55" s="180">
        <v>51</v>
      </c>
      <c r="B55" s="181" t="s">
        <v>267</v>
      </c>
      <c r="C55" s="182" t="s">
        <v>212</v>
      </c>
      <c r="D55" s="183"/>
      <c r="E55" s="190">
        <v>10</v>
      </c>
      <c r="F55" s="191">
        <v>2</v>
      </c>
      <c r="G55" s="186">
        <v>6200</v>
      </c>
      <c r="H55" s="186"/>
      <c r="I55" s="186"/>
      <c r="J55" s="186"/>
      <c r="K55" s="57" t="s">
        <v>34</v>
      </c>
      <c r="L55" s="192" t="s">
        <v>268</v>
      </c>
      <c r="M55" s="193"/>
    </row>
    <row r="56" spans="1:13" ht="36.75" customHeight="1" thickBot="1" x14ac:dyDescent="0.4">
      <c r="A56" s="194"/>
      <c r="B56" s="1312" t="s">
        <v>269</v>
      </c>
      <c r="C56" s="1313"/>
      <c r="D56" s="1296"/>
      <c r="E56" s="1297"/>
      <c r="F56" s="1297"/>
      <c r="G56" s="1297"/>
      <c r="H56" s="1297"/>
      <c r="I56" s="1297"/>
      <c r="J56" s="1297"/>
      <c r="K56" s="1297"/>
      <c r="L56" s="1297"/>
      <c r="M56" s="1298"/>
    </row>
    <row r="57" spans="1:13" ht="30.75" customHeight="1" x14ac:dyDescent="0.35">
      <c r="A57" s="195">
        <v>1</v>
      </c>
      <c r="B57" s="1308" t="s">
        <v>270</v>
      </c>
      <c r="C57" s="1309"/>
      <c r="D57" s="196"/>
      <c r="E57" s="197"/>
      <c r="F57" s="197"/>
      <c r="G57" s="197"/>
      <c r="H57" s="197"/>
      <c r="I57" s="1310">
        <v>292</v>
      </c>
      <c r="J57" s="1311"/>
      <c r="K57" s="196" t="s">
        <v>34</v>
      </c>
      <c r="L57" s="197"/>
      <c r="M57" s="146">
        <v>46065</v>
      </c>
    </row>
    <row r="58" spans="1:13" ht="42.75" customHeight="1" x14ac:dyDescent="0.35">
      <c r="A58" s="195">
        <v>2</v>
      </c>
      <c r="B58" s="1299" t="s">
        <v>271</v>
      </c>
      <c r="C58" s="1300"/>
      <c r="D58" s="156"/>
      <c r="E58" s="198"/>
      <c r="F58" s="198"/>
      <c r="G58" s="198"/>
      <c r="H58" s="198"/>
      <c r="I58" s="1301">
        <v>292</v>
      </c>
      <c r="J58" s="1302"/>
      <c r="K58" s="156" t="s">
        <v>34</v>
      </c>
      <c r="L58" s="198"/>
      <c r="M58" s="146">
        <v>46065</v>
      </c>
    </row>
    <row r="59" spans="1:13" ht="34.5" customHeight="1" thickBot="1" x14ac:dyDescent="0.4">
      <c r="A59" s="199">
        <v>3</v>
      </c>
      <c r="B59" s="1303" t="s">
        <v>272</v>
      </c>
      <c r="C59" s="1304"/>
      <c r="D59" s="200"/>
      <c r="E59" s="201"/>
      <c r="F59" s="201"/>
      <c r="G59" s="201"/>
      <c r="H59" s="201"/>
      <c r="I59" s="1305">
        <v>292</v>
      </c>
      <c r="J59" s="1306"/>
      <c r="K59" s="200" t="s">
        <v>34</v>
      </c>
      <c r="L59" s="201"/>
      <c r="M59" s="188">
        <v>46065</v>
      </c>
    </row>
    <row r="60" spans="1:13" ht="19.5" thickBot="1" x14ac:dyDescent="0.4">
      <c r="C60" s="202"/>
      <c r="D60" s="203"/>
    </row>
    <row r="61" spans="1:13" ht="82.5" x14ac:dyDescent="0.35">
      <c r="B61" s="67" t="s">
        <v>77</v>
      </c>
      <c r="C61" s="1176" t="s">
        <v>78</v>
      </c>
      <c r="D61" s="203"/>
    </row>
    <row r="62" spans="1:13" ht="18.75" x14ac:dyDescent="0.35">
      <c r="B62" s="206" t="s">
        <v>79</v>
      </c>
      <c r="C62" s="207">
        <v>160</v>
      </c>
      <c r="D62" s="203"/>
    </row>
    <row r="63" spans="1:13" x14ac:dyDescent="0.35">
      <c r="B63" s="206" t="s">
        <v>80</v>
      </c>
      <c r="C63" s="207">
        <v>380</v>
      </c>
      <c r="G63" s="20"/>
      <c r="H63" s="20"/>
      <c r="I63" s="20"/>
      <c r="J63" s="20"/>
      <c r="K63" s="3"/>
    </row>
    <row r="64" spans="1:13" x14ac:dyDescent="0.35">
      <c r="B64" s="206" t="s">
        <v>81</v>
      </c>
      <c r="C64" s="207">
        <v>485</v>
      </c>
      <c r="G64" s="20"/>
      <c r="H64" s="20"/>
      <c r="I64" s="20"/>
      <c r="J64" s="20"/>
      <c r="K64" s="3"/>
    </row>
    <row r="65" spans="2:16" x14ac:dyDescent="0.35">
      <c r="B65" s="208" t="s">
        <v>82</v>
      </c>
      <c r="C65" s="209">
        <v>540</v>
      </c>
      <c r="G65" s="20"/>
      <c r="H65" s="20"/>
      <c r="I65" s="20"/>
      <c r="J65" s="20"/>
      <c r="K65" s="3"/>
    </row>
    <row r="66" spans="2:16" ht="18.75" thickBot="1" x14ac:dyDescent="0.4">
      <c r="B66" s="210" t="s">
        <v>83</v>
      </c>
      <c r="C66" s="211">
        <v>760</v>
      </c>
      <c r="G66" s="20"/>
      <c r="H66" s="20"/>
      <c r="I66" s="20"/>
      <c r="J66" s="20"/>
      <c r="K66" s="3"/>
    </row>
    <row r="67" spans="2:16" x14ac:dyDescent="0.35">
      <c r="B67" s="212"/>
      <c r="C67" s="20"/>
      <c r="D67" s="3"/>
      <c r="G67" s="20"/>
      <c r="H67" s="20"/>
      <c r="I67" s="20"/>
      <c r="J67" s="20"/>
      <c r="K67" s="3"/>
    </row>
    <row r="68" spans="2:16" ht="8.25" customHeight="1" x14ac:dyDescent="0.35">
      <c r="B68" s="212"/>
      <c r="C68" s="77"/>
      <c r="D68" s="77"/>
      <c r="E68" s="77"/>
      <c r="F68" s="77"/>
      <c r="G68" s="20"/>
      <c r="H68" s="20"/>
      <c r="I68" s="20"/>
      <c r="J68" s="20"/>
      <c r="K68" s="3"/>
    </row>
    <row r="69" spans="2:16" ht="31.5" customHeight="1" x14ac:dyDescent="0.35">
      <c r="B69" s="1307" t="s">
        <v>273</v>
      </c>
      <c r="C69" s="1307"/>
      <c r="D69" s="1307"/>
      <c r="E69" s="1307"/>
      <c r="F69" s="1307"/>
      <c r="G69" s="1307"/>
      <c r="H69" s="64"/>
      <c r="I69" s="64"/>
      <c r="J69" s="64"/>
      <c r="K69" s="3"/>
      <c r="L69" s="3"/>
      <c r="M69" s="62"/>
    </row>
    <row r="70" spans="2:16" s="20" customFormat="1" ht="18.75" x14ac:dyDescent="0.3">
      <c r="B70" s="1182" t="s">
        <v>85</v>
      </c>
      <c r="C70" s="1182"/>
      <c r="D70" s="1182"/>
      <c r="E70" s="1182"/>
      <c r="F70" s="1182"/>
      <c r="G70" s="1182"/>
      <c r="H70" s="1182"/>
      <c r="I70" s="1182"/>
      <c r="J70" s="1182"/>
      <c r="K70" s="1182"/>
      <c r="L70" s="213"/>
      <c r="P70" s="65"/>
    </row>
    <row r="71" spans="2:16" s="20" customFormat="1" ht="54.75" customHeight="1" x14ac:dyDescent="0.3">
      <c r="B71" s="1178" t="s">
        <v>95</v>
      </c>
      <c r="C71" s="1178"/>
      <c r="D71" s="1178"/>
      <c r="E71" s="1178"/>
      <c r="F71" s="1178"/>
      <c r="G71" s="1178"/>
      <c r="H71" s="1178"/>
      <c r="I71" s="1178"/>
      <c r="J71" s="1178"/>
      <c r="K71" s="1178"/>
      <c r="L71" s="214"/>
      <c r="P71" s="65"/>
    </row>
    <row r="72" spans="2:16" s="20" customFormat="1" ht="46.5" customHeight="1" x14ac:dyDescent="0.3">
      <c r="B72" s="1178" t="s">
        <v>96</v>
      </c>
      <c r="C72" s="1178"/>
      <c r="D72" s="1178"/>
      <c r="E72" s="1178"/>
      <c r="F72" s="1178"/>
      <c r="G72" s="1178"/>
      <c r="H72" s="1178"/>
      <c r="I72" s="1178"/>
      <c r="J72" s="1178"/>
      <c r="K72" s="1178"/>
      <c r="L72" s="214"/>
      <c r="P72" s="65"/>
    </row>
    <row r="73" spans="2:16" s="20" customFormat="1" ht="22.5" customHeight="1" x14ac:dyDescent="0.3">
      <c r="B73" s="1178" t="s">
        <v>97</v>
      </c>
      <c r="C73" s="1178"/>
      <c r="D73" s="1178"/>
      <c r="E73" s="1178"/>
      <c r="F73" s="1178"/>
      <c r="G73" s="1178"/>
      <c r="H73" s="1178"/>
      <c r="I73" s="1178"/>
      <c r="J73" s="1178"/>
      <c r="K73" s="1178"/>
      <c r="L73" s="214"/>
      <c r="P73" s="65"/>
    </row>
    <row r="74" spans="2:16" s="20" customFormat="1" ht="62.25" customHeight="1" x14ac:dyDescent="0.3">
      <c r="B74" s="1178" t="s">
        <v>98</v>
      </c>
      <c r="C74" s="1178"/>
      <c r="D74" s="1178"/>
      <c r="E74" s="1178"/>
      <c r="F74" s="1178"/>
      <c r="G74" s="1178"/>
      <c r="H74" s="1178"/>
      <c r="I74" s="1178"/>
      <c r="J74" s="1178"/>
      <c r="K74" s="1178"/>
      <c r="L74" s="214"/>
      <c r="P74" s="65"/>
    </row>
    <row r="75" spans="2:16" s="20" customFormat="1" ht="36" customHeight="1" x14ac:dyDescent="0.3">
      <c r="B75" s="1178" t="s">
        <v>99</v>
      </c>
      <c r="C75" s="1178"/>
      <c r="D75" s="1178"/>
      <c r="E75" s="1178"/>
      <c r="F75" s="1178"/>
      <c r="G75" s="1178"/>
      <c r="H75" s="1178"/>
      <c r="I75" s="1178"/>
      <c r="J75" s="1178"/>
      <c r="K75" s="1178"/>
      <c r="L75" s="214"/>
      <c r="P75" s="65"/>
    </row>
    <row r="76" spans="2:16" s="20" customFormat="1" ht="21.75" customHeight="1" x14ac:dyDescent="0.3">
      <c r="B76" s="1178" t="s">
        <v>274</v>
      </c>
      <c r="C76" s="1178"/>
      <c r="D76" s="1178"/>
      <c r="E76" s="1178"/>
      <c r="F76" s="1178"/>
      <c r="G76" s="1178"/>
      <c r="H76" s="1178"/>
      <c r="I76" s="1178"/>
      <c r="J76" s="1178"/>
      <c r="K76" s="1178"/>
      <c r="L76" s="214"/>
      <c r="P76" s="65"/>
    </row>
    <row r="77" spans="2:16" s="20" customFormat="1" ht="47.25" customHeight="1" x14ac:dyDescent="0.3">
      <c r="B77" s="1178" t="s">
        <v>101</v>
      </c>
      <c r="C77" s="1178"/>
      <c r="D77" s="1178"/>
      <c r="E77" s="1178"/>
      <c r="F77" s="1178"/>
      <c r="G77" s="1178"/>
      <c r="H77" s="1178"/>
      <c r="I77" s="1178"/>
      <c r="J77" s="1178"/>
      <c r="K77" s="1178"/>
      <c r="L77" s="214"/>
      <c r="P77" s="65"/>
    </row>
    <row r="78" spans="2:16" s="20" customFormat="1" ht="58.5" customHeight="1" x14ac:dyDescent="0.3">
      <c r="B78" s="1178" t="s">
        <v>102</v>
      </c>
      <c r="C78" s="1178"/>
      <c r="D78" s="1178"/>
      <c r="E78" s="1178"/>
      <c r="F78" s="1178"/>
      <c r="G78" s="1178"/>
      <c r="H78" s="1178"/>
      <c r="I78" s="1178"/>
      <c r="J78" s="1178"/>
      <c r="K78" s="1178"/>
      <c r="L78" s="214"/>
      <c r="P78" s="65"/>
    </row>
    <row r="79" spans="2:16" s="20" customFormat="1" x14ac:dyDescent="0.3">
      <c r="B79" s="1211"/>
      <c r="C79" s="1212"/>
      <c r="D79" s="1212"/>
      <c r="E79" s="1212"/>
      <c r="F79" s="1212"/>
      <c r="G79" s="1212"/>
      <c r="H79" s="1212"/>
      <c r="I79" s="1212"/>
      <c r="J79" s="1212"/>
      <c r="K79" s="1212"/>
      <c r="L79" s="1295"/>
      <c r="P79" s="65"/>
    </row>
    <row r="80" spans="2:16" s="20" customFormat="1" ht="18.75" x14ac:dyDescent="0.35">
      <c r="B80" s="1213" t="s">
        <v>86</v>
      </c>
      <c r="C80" s="1213"/>
      <c r="D80" s="1213"/>
      <c r="E80" s="1213"/>
      <c r="F80" s="1213"/>
      <c r="G80" s="63"/>
      <c r="H80" s="64"/>
      <c r="I80" s="64"/>
      <c r="J80" s="64"/>
      <c r="K80" s="3"/>
      <c r="L80" s="3"/>
      <c r="P80" s="65"/>
    </row>
    <row r="81" spans="2:16" s="20" customFormat="1" ht="139.5" customHeight="1" x14ac:dyDescent="0.35">
      <c r="B81" s="1177" t="s">
        <v>275</v>
      </c>
      <c r="C81" s="1177"/>
      <c r="D81" s="1177"/>
      <c r="E81" s="1177"/>
      <c r="F81" s="1177"/>
      <c r="G81" s="63"/>
      <c r="H81" s="64"/>
      <c r="I81" s="64"/>
      <c r="J81" s="64"/>
      <c r="K81" s="3"/>
      <c r="L81" s="3"/>
      <c r="P81" s="65"/>
    </row>
    <row r="82" spans="2:16" s="20" customFormat="1" ht="51" customHeight="1" x14ac:dyDescent="0.35">
      <c r="B82" s="1177" t="s">
        <v>276</v>
      </c>
      <c r="C82" s="1177"/>
      <c r="D82" s="1177"/>
      <c r="E82" s="1177"/>
      <c r="F82" s="1177"/>
      <c r="G82" s="63"/>
      <c r="H82" s="64"/>
      <c r="I82" s="64"/>
      <c r="J82" s="64"/>
      <c r="K82" s="3"/>
      <c r="L82" s="3"/>
      <c r="P82" s="65"/>
    </row>
    <row r="83" spans="2:16" s="20" customFormat="1" ht="41.25" customHeight="1" x14ac:dyDescent="0.35">
      <c r="B83" s="1177" t="s">
        <v>277</v>
      </c>
      <c r="C83" s="1177"/>
      <c r="D83" s="1177"/>
      <c r="E83" s="1177"/>
      <c r="F83" s="1177"/>
      <c r="G83" s="63"/>
      <c r="H83" s="64"/>
      <c r="I83" s="64"/>
      <c r="J83" s="64"/>
      <c r="K83" s="3"/>
      <c r="L83" s="3"/>
      <c r="P83" s="65"/>
    </row>
    <row r="84" spans="2:16" s="20" customFormat="1" ht="39.75" customHeight="1" x14ac:dyDescent="0.35">
      <c r="B84" s="1177" t="s">
        <v>89</v>
      </c>
      <c r="C84" s="1177"/>
      <c r="D84" s="1177"/>
      <c r="E84" s="1177"/>
      <c r="F84" s="1177"/>
      <c r="G84" s="63"/>
      <c r="H84" s="64"/>
      <c r="I84" s="64"/>
      <c r="J84" s="64"/>
      <c r="K84" s="3"/>
      <c r="L84" s="3"/>
      <c r="P84" s="65"/>
    </row>
    <row r="85" spans="2:16" s="20" customFormat="1" ht="24" customHeight="1" x14ac:dyDescent="0.35">
      <c r="B85" s="1177" t="s">
        <v>90</v>
      </c>
      <c r="C85" s="1177"/>
      <c r="D85" s="1177"/>
      <c r="E85" s="1177"/>
      <c r="F85" s="1177"/>
      <c r="G85" s="63"/>
      <c r="H85" s="64"/>
      <c r="I85" s="64"/>
      <c r="J85" s="64"/>
      <c r="K85" s="3"/>
      <c r="L85" s="3"/>
      <c r="P85" s="65"/>
    </row>
    <row r="86" spans="2:16" s="20" customFormat="1" x14ac:dyDescent="0.3">
      <c r="B86" s="1177" t="s">
        <v>278</v>
      </c>
      <c r="C86" s="1177"/>
      <c r="D86" s="1177"/>
      <c r="E86" s="1177"/>
      <c r="F86" s="1177"/>
      <c r="G86" s="3"/>
      <c r="H86" s="3"/>
      <c r="I86" s="64"/>
      <c r="J86" s="64"/>
      <c r="K86" s="3"/>
      <c r="L86" s="3"/>
      <c r="P86" s="65"/>
    </row>
  </sheetData>
  <mergeCells count="39">
    <mergeCell ref="A1:M1"/>
    <mergeCell ref="A2:A3"/>
    <mergeCell ref="B2:B3"/>
    <mergeCell ref="C2:C3"/>
    <mergeCell ref="D2:D3"/>
    <mergeCell ref="E2:F2"/>
    <mergeCell ref="G2:G3"/>
    <mergeCell ref="H2:H3"/>
    <mergeCell ref="I2:I3"/>
    <mergeCell ref="J2:J3"/>
    <mergeCell ref="K2:K3"/>
    <mergeCell ref="L2:L3"/>
    <mergeCell ref="M2:M3"/>
    <mergeCell ref="D56:M56"/>
    <mergeCell ref="B76:K76"/>
    <mergeCell ref="B58:C58"/>
    <mergeCell ref="I58:J58"/>
    <mergeCell ref="B59:C59"/>
    <mergeCell ref="I59:J59"/>
    <mergeCell ref="B69:G69"/>
    <mergeCell ref="B70:K70"/>
    <mergeCell ref="B71:K71"/>
    <mergeCell ref="B72:K72"/>
    <mergeCell ref="B73:K73"/>
    <mergeCell ref="B74:K74"/>
    <mergeCell ref="B75:K75"/>
    <mergeCell ref="B57:C57"/>
    <mergeCell ref="I57:J57"/>
    <mergeCell ref="B56:C56"/>
    <mergeCell ref="B83:F83"/>
    <mergeCell ref="B84:F84"/>
    <mergeCell ref="B85:F85"/>
    <mergeCell ref="B86:F86"/>
    <mergeCell ref="B77:K77"/>
    <mergeCell ref="B78:K78"/>
    <mergeCell ref="B79:L79"/>
    <mergeCell ref="B80:F80"/>
    <mergeCell ref="B81:F81"/>
    <mergeCell ref="B82:F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95045-1115-44B4-A0C0-2FE7ABFDEC80}">
  <dimension ref="A1:Q48"/>
  <sheetViews>
    <sheetView topLeftCell="A3" workbookViewId="0">
      <selection activeCell="L23" sqref="L23"/>
    </sheetView>
  </sheetViews>
  <sheetFormatPr defaultRowHeight="15" x14ac:dyDescent="0.25"/>
  <cols>
    <col min="1" max="1" width="7" customWidth="1"/>
    <col min="2" max="2" width="55.85546875" customWidth="1"/>
    <col min="3" max="3" width="12.140625" customWidth="1"/>
    <col min="4" max="4" width="13.140625" customWidth="1"/>
    <col min="5" max="5" width="9.140625" hidden="1" customWidth="1"/>
    <col min="7" max="7" width="11.42578125" customWidth="1"/>
    <col min="8" max="8" width="10.42578125" customWidth="1"/>
    <col min="9" max="9" width="13" customWidth="1"/>
    <col min="10" max="10" width="10.28515625" customWidth="1"/>
    <col min="11" max="11" width="12.5703125" customWidth="1"/>
    <col min="12" max="12" width="12.42578125" customWidth="1"/>
    <col min="13" max="13" width="12.28515625" customWidth="1"/>
    <col min="14" max="14" width="12.5703125" customWidth="1"/>
    <col min="16" max="16" width="63.5703125" customWidth="1"/>
    <col min="17" max="17" width="19.85546875" customWidth="1"/>
  </cols>
  <sheetData>
    <row r="1" spans="1:17" s="216" customFormat="1" ht="24" thickBot="1" x14ac:dyDescent="0.3">
      <c r="A1" s="1332" t="s">
        <v>279</v>
      </c>
      <c r="B1" s="1333"/>
      <c r="C1" s="1333"/>
      <c r="D1" s="1333"/>
      <c r="E1" s="1333"/>
      <c r="F1" s="1333"/>
      <c r="G1" s="1333"/>
      <c r="H1" s="1333"/>
      <c r="I1" s="1333"/>
      <c r="J1" s="1333"/>
      <c r="K1" s="1333"/>
      <c r="L1" s="1333"/>
      <c r="M1" s="1333"/>
      <c r="N1" s="1333"/>
      <c r="O1" s="1333"/>
      <c r="P1" s="1333"/>
      <c r="Q1" s="1334"/>
    </row>
    <row r="2" spans="1:17" ht="18.75" x14ac:dyDescent="0.25">
      <c r="A2" s="1335" t="s">
        <v>1</v>
      </c>
      <c r="B2" s="1320" t="s">
        <v>2</v>
      </c>
      <c r="C2" s="1339" t="s">
        <v>280</v>
      </c>
      <c r="D2" s="1342" t="s">
        <v>3</v>
      </c>
      <c r="E2" s="1342"/>
      <c r="F2" s="1345" t="s">
        <v>124</v>
      </c>
      <c r="G2" s="1348" t="s">
        <v>16</v>
      </c>
      <c r="H2" s="1349"/>
      <c r="I2" s="1349"/>
      <c r="J2" s="1350"/>
      <c r="K2" s="1351" t="s">
        <v>281</v>
      </c>
      <c r="L2" s="1352"/>
      <c r="M2" s="1352"/>
      <c r="N2" s="1353"/>
      <c r="O2" s="1231" t="s">
        <v>8</v>
      </c>
      <c r="P2" s="1327" t="s">
        <v>9</v>
      </c>
      <c r="Q2" s="1327" t="s">
        <v>10</v>
      </c>
    </row>
    <row r="3" spans="1:17" ht="18" x14ac:dyDescent="0.25">
      <c r="A3" s="1336"/>
      <c r="B3" s="1338"/>
      <c r="C3" s="1340"/>
      <c r="D3" s="1343"/>
      <c r="E3" s="1343"/>
      <c r="F3" s="1346"/>
      <c r="G3" s="1355" t="s">
        <v>109</v>
      </c>
      <c r="H3" s="1356"/>
      <c r="I3" s="1357" t="s">
        <v>282</v>
      </c>
      <c r="J3" s="1358"/>
      <c r="K3" s="1355" t="s">
        <v>283</v>
      </c>
      <c r="L3" s="1356"/>
      <c r="M3" s="1359" t="s">
        <v>282</v>
      </c>
      <c r="N3" s="1360"/>
      <c r="O3" s="1317"/>
      <c r="P3" s="1354"/>
      <c r="Q3" s="1354"/>
    </row>
    <row r="4" spans="1:17" ht="33.75" customHeight="1" thickBot="1" x14ac:dyDescent="0.3">
      <c r="A4" s="1337"/>
      <c r="B4" s="1321"/>
      <c r="C4" s="1341"/>
      <c r="D4" s="1344"/>
      <c r="E4" s="1344"/>
      <c r="F4" s="1347"/>
      <c r="G4" s="1036" t="s">
        <v>284</v>
      </c>
      <c r="H4" s="1037" t="s">
        <v>285</v>
      </c>
      <c r="I4" s="1036" t="s">
        <v>284</v>
      </c>
      <c r="J4" s="1038" t="s">
        <v>285</v>
      </c>
      <c r="K4" s="1036" t="s">
        <v>284</v>
      </c>
      <c r="L4" s="1039" t="s">
        <v>286</v>
      </c>
      <c r="M4" s="1039" t="s">
        <v>284</v>
      </c>
      <c r="N4" s="1040" t="s">
        <v>287</v>
      </c>
      <c r="O4" s="1232"/>
      <c r="P4" s="1328"/>
      <c r="Q4" s="1328"/>
    </row>
    <row r="5" spans="1:17" ht="18" x14ac:dyDescent="0.35">
      <c r="A5" s="217">
        <v>1</v>
      </c>
      <c r="B5" s="218" t="s">
        <v>288</v>
      </c>
      <c r="C5" s="219">
        <v>0.5</v>
      </c>
      <c r="D5" s="220" t="s">
        <v>212</v>
      </c>
      <c r="E5" s="221">
        <v>35</v>
      </c>
      <c r="F5" s="222" t="s">
        <v>16</v>
      </c>
      <c r="G5" s="223">
        <v>235</v>
      </c>
      <c r="H5" s="224">
        <v>291.39999999999998</v>
      </c>
      <c r="I5" s="224">
        <v>200</v>
      </c>
      <c r="J5" s="225">
        <v>248</v>
      </c>
      <c r="K5" s="226"/>
      <c r="L5" s="227"/>
      <c r="M5" s="228"/>
      <c r="N5" s="229"/>
      <c r="O5" s="230" t="s">
        <v>289</v>
      </c>
      <c r="P5" s="231" t="s">
        <v>290</v>
      </c>
      <c r="Q5" s="232">
        <v>2024</v>
      </c>
    </row>
    <row r="6" spans="1:17" ht="18" x14ac:dyDescent="0.35">
      <c r="A6" s="233">
        <v>2</v>
      </c>
      <c r="B6" s="234" t="s">
        <v>291</v>
      </c>
      <c r="C6" s="48">
        <v>0.5</v>
      </c>
      <c r="D6" s="235" t="s">
        <v>212</v>
      </c>
      <c r="E6" s="236">
        <v>35</v>
      </c>
      <c r="F6" s="148" t="s">
        <v>16</v>
      </c>
      <c r="G6" s="223">
        <v>235</v>
      </c>
      <c r="H6" s="224">
        <v>291.39999999999998</v>
      </c>
      <c r="I6" s="224">
        <v>200</v>
      </c>
      <c r="J6" s="225">
        <v>248</v>
      </c>
      <c r="K6" s="237"/>
      <c r="L6" s="238"/>
      <c r="M6" s="239"/>
      <c r="N6" s="240"/>
      <c r="O6" s="241" t="s">
        <v>289</v>
      </c>
      <c r="P6" s="242" t="s">
        <v>290</v>
      </c>
      <c r="Q6" s="243">
        <v>2024</v>
      </c>
    </row>
    <row r="7" spans="1:17" ht="18" x14ac:dyDescent="0.35">
      <c r="A7" s="233">
        <v>3</v>
      </c>
      <c r="B7" s="244" t="s">
        <v>292</v>
      </c>
      <c r="C7" s="48">
        <v>0.5</v>
      </c>
      <c r="D7" s="235" t="s">
        <v>212</v>
      </c>
      <c r="E7" s="236">
        <v>35</v>
      </c>
      <c r="F7" s="148" t="s">
        <v>16</v>
      </c>
      <c r="G7" s="223">
        <v>235</v>
      </c>
      <c r="H7" s="224">
        <v>291.39999999999998</v>
      </c>
      <c r="I7" s="224">
        <v>200</v>
      </c>
      <c r="J7" s="225">
        <v>248</v>
      </c>
      <c r="K7" s="237"/>
      <c r="L7" s="238"/>
      <c r="M7" s="239"/>
      <c r="N7" s="240"/>
      <c r="O7" s="241" t="s">
        <v>289</v>
      </c>
      <c r="P7" s="242" t="s">
        <v>290</v>
      </c>
      <c r="Q7" s="243">
        <v>2024</v>
      </c>
    </row>
    <row r="8" spans="1:17" ht="18" x14ac:dyDescent="0.25">
      <c r="A8" s="233">
        <v>4</v>
      </c>
      <c r="B8" s="234" t="s">
        <v>293</v>
      </c>
      <c r="C8" s="48">
        <v>1</v>
      </c>
      <c r="D8" s="23" t="s">
        <v>212</v>
      </c>
      <c r="E8" s="148">
        <v>35</v>
      </c>
      <c r="F8" s="148">
        <v>1</v>
      </c>
      <c r="G8" s="245"/>
      <c r="H8" s="246"/>
      <c r="I8" s="246"/>
      <c r="J8" s="247"/>
      <c r="K8" s="237">
        <v>570</v>
      </c>
      <c r="L8" s="238">
        <v>706.8</v>
      </c>
      <c r="M8" s="239">
        <v>535</v>
      </c>
      <c r="N8" s="240">
        <v>663.4</v>
      </c>
      <c r="O8" s="248" t="s">
        <v>289</v>
      </c>
      <c r="P8" s="242" t="s">
        <v>290</v>
      </c>
      <c r="Q8" s="243">
        <v>2024</v>
      </c>
    </row>
    <row r="9" spans="1:17" ht="18" x14ac:dyDescent="0.25">
      <c r="A9" s="233">
        <v>5</v>
      </c>
      <c r="B9" s="249" t="s">
        <v>294</v>
      </c>
      <c r="C9" s="48">
        <v>2</v>
      </c>
      <c r="D9" s="80" t="s">
        <v>232</v>
      </c>
      <c r="E9" s="168">
        <v>603</v>
      </c>
      <c r="F9" s="168">
        <v>1</v>
      </c>
      <c r="G9" s="250"/>
      <c r="H9" s="251"/>
      <c r="I9" s="251"/>
      <c r="J9" s="252"/>
      <c r="K9" s="237">
        <v>740</v>
      </c>
      <c r="L9" s="238">
        <v>917.6</v>
      </c>
      <c r="M9" s="239">
        <v>528.95000000000005</v>
      </c>
      <c r="N9" s="240">
        <v>655.89800000000002</v>
      </c>
      <c r="O9" s="248" t="s">
        <v>289</v>
      </c>
      <c r="P9" s="253"/>
      <c r="Q9" s="243">
        <v>2024</v>
      </c>
    </row>
    <row r="10" spans="1:17" ht="18" x14ac:dyDescent="0.25">
      <c r="A10" s="233">
        <v>6</v>
      </c>
      <c r="B10" s="249" t="s">
        <v>295</v>
      </c>
      <c r="C10" s="48">
        <v>2</v>
      </c>
      <c r="D10" s="80" t="s">
        <v>221</v>
      </c>
      <c r="E10" s="168">
        <v>683</v>
      </c>
      <c r="F10" s="168">
        <v>1</v>
      </c>
      <c r="G10" s="250"/>
      <c r="H10" s="251"/>
      <c r="I10" s="251"/>
      <c r="J10" s="252"/>
      <c r="K10" s="237">
        <v>740</v>
      </c>
      <c r="L10" s="238">
        <v>917.6</v>
      </c>
      <c r="M10" s="239">
        <v>500.95000000000005</v>
      </c>
      <c r="N10" s="240">
        <v>621.178</v>
      </c>
      <c r="O10" s="241" t="s">
        <v>289</v>
      </c>
      <c r="P10" s="254"/>
      <c r="Q10" s="243">
        <v>2024</v>
      </c>
    </row>
    <row r="11" spans="1:17" ht="18" x14ac:dyDescent="0.25">
      <c r="A11" s="233">
        <v>7</v>
      </c>
      <c r="B11" s="249" t="s">
        <v>296</v>
      </c>
      <c r="C11" s="48">
        <v>1.5</v>
      </c>
      <c r="D11" s="80" t="s">
        <v>297</v>
      </c>
      <c r="E11" s="168">
        <v>1140</v>
      </c>
      <c r="F11" s="168">
        <v>1</v>
      </c>
      <c r="G11" s="250"/>
      <c r="H11" s="251"/>
      <c r="I11" s="251"/>
      <c r="J11" s="252"/>
      <c r="K11" s="237">
        <v>655</v>
      </c>
      <c r="L11" s="238">
        <v>812.2</v>
      </c>
      <c r="M11" s="239">
        <v>256</v>
      </c>
      <c r="N11" s="240">
        <v>317.44</v>
      </c>
      <c r="O11" s="248" t="s">
        <v>289</v>
      </c>
      <c r="P11" s="253"/>
      <c r="Q11" s="243">
        <v>2024</v>
      </c>
    </row>
    <row r="12" spans="1:17" ht="18" x14ac:dyDescent="0.25">
      <c r="A12" s="233">
        <v>8</v>
      </c>
      <c r="B12" s="249" t="s">
        <v>298</v>
      </c>
      <c r="C12" s="48">
        <v>1.5</v>
      </c>
      <c r="D12" s="154" t="s">
        <v>299</v>
      </c>
      <c r="E12" s="255">
        <v>402</v>
      </c>
      <c r="F12" s="148">
        <v>1</v>
      </c>
      <c r="G12" s="245"/>
      <c r="H12" s="246"/>
      <c r="I12" s="246"/>
      <c r="J12" s="247"/>
      <c r="K12" s="237">
        <v>655</v>
      </c>
      <c r="L12" s="238">
        <v>812.2</v>
      </c>
      <c r="M12" s="239">
        <v>514.29999999999995</v>
      </c>
      <c r="N12" s="240">
        <v>637.73199999999997</v>
      </c>
      <c r="O12" s="248" t="s">
        <v>289</v>
      </c>
      <c r="P12" s="253"/>
      <c r="Q12" s="243">
        <v>2024</v>
      </c>
    </row>
    <row r="13" spans="1:17" ht="18" x14ac:dyDescent="0.25">
      <c r="A13" s="233">
        <v>9</v>
      </c>
      <c r="B13" s="234" t="s">
        <v>300</v>
      </c>
      <c r="C13" s="48">
        <v>0.5</v>
      </c>
      <c r="D13" s="23" t="s">
        <v>212</v>
      </c>
      <c r="E13" s="148">
        <v>35</v>
      </c>
      <c r="F13" s="148" t="s">
        <v>16</v>
      </c>
      <c r="G13" s="223">
        <v>235</v>
      </c>
      <c r="H13" s="224">
        <v>291.39999999999998</v>
      </c>
      <c r="I13" s="224">
        <v>200</v>
      </c>
      <c r="J13" s="225">
        <v>248</v>
      </c>
      <c r="K13" s="237"/>
      <c r="L13" s="256"/>
      <c r="M13" s="239"/>
      <c r="N13" s="257"/>
      <c r="O13" s="248" t="s">
        <v>289</v>
      </c>
      <c r="P13" s="242" t="s">
        <v>290</v>
      </c>
      <c r="Q13" s="243">
        <v>2024</v>
      </c>
    </row>
    <row r="14" spans="1:17" ht="18" x14ac:dyDescent="0.25">
      <c r="A14" s="233">
        <v>10</v>
      </c>
      <c r="B14" s="249" t="s">
        <v>220</v>
      </c>
      <c r="C14" s="48">
        <v>2</v>
      </c>
      <c r="D14" s="80" t="s">
        <v>221</v>
      </c>
      <c r="E14" s="168">
        <v>683</v>
      </c>
      <c r="F14" s="168">
        <v>1</v>
      </c>
      <c r="G14" s="250"/>
      <c r="H14" s="251"/>
      <c r="I14" s="251"/>
      <c r="J14" s="252"/>
      <c r="K14" s="237">
        <v>740</v>
      </c>
      <c r="L14" s="238">
        <v>917.6</v>
      </c>
      <c r="M14" s="239">
        <v>500.95000000000005</v>
      </c>
      <c r="N14" s="240">
        <v>621.178</v>
      </c>
      <c r="O14" s="248" t="s">
        <v>289</v>
      </c>
      <c r="P14" s="253"/>
      <c r="Q14" s="243">
        <v>2024</v>
      </c>
    </row>
    <row r="15" spans="1:17" ht="18" x14ac:dyDescent="0.25">
      <c r="A15" s="233">
        <v>11</v>
      </c>
      <c r="B15" s="249" t="s">
        <v>301</v>
      </c>
      <c r="C15" s="48">
        <v>2</v>
      </c>
      <c r="D15" s="80" t="s">
        <v>232</v>
      </c>
      <c r="E15" s="168">
        <v>603</v>
      </c>
      <c r="F15" s="168">
        <v>1</v>
      </c>
      <c r="G15" s="250"/>
      <c r="H15" s="251"/>
      <c r="I15" s="251"/>
      <c r="J15" s="252"/>
      <c r="K15" s="237">
        <v>740</v>
      </c>
      <c r="L15" s="238">
        <v>917.6</v>
      </c>
      <c r="M15" s="239">
        <v>528.95000000000005</v>
      </c>
      <c r="N15" s="240">
        <v>655.89800000000002</v>
      </c>
      <c r="O15" s="248" t="s">
        <v>289</v>
      </c>
      <c r="P15" s="253"/>
      <c r="Q15" s="243">
        <v>2024</v>
      </c>
    </row>
    <row r="16" spans="1:17" ht="18" x14ac:dyDescent="0.25">
      <c r="A16" s="233">
        <v>12</v>
      </c>
      <c r="B16" s="249" t="s">
        <v>302</v>
      </c>
      <c r="C16" s="48">
        <v>1.5</v>
      </c>
      <c r="D16" s="154" t="s">
        <v>299</v>
      </c>
      <c r="E16" s="255">
        <v>402</v>
      </c>
      <c r="F16" s="148">
        <v>1</v>
      </c>
      <c r="G16" s="245"/>
      <c r="H16" s="246"/>
      <c r="I16" s="246"/>
      <c r="J16" s="247"/>
      <c r="K16" s="237">
        <v>655</v>
      </c>
      <c r="L16" s="238">
        <v>812.2</v>
      </c>
      <c r="M16" s="239">
        <v>514.29999999999995</v>
      </c>
      <c r="N16" s="240">
        <v>637.73199999999997</v>
      </c>
      <c r="O16" s="248" t="s">
        <v>289</v>
      </c>
      <c r="P16" s="253"/>
      <c r="Q16" s="243">
        <v>2024</v>
      </c>
    </row>
    <row r="17" spans="1:17" ht="18" x14ac:dyDescent="0.25">
      <c r="A17" s="233">
        <v>13</v>
      </c>
      <c r="B17" s="249" t="s">
        <v>303</v>
      </c>
      <c r="C17" s="48">
        <v>2</v>
      </c>
      <c r="D17" s="154" t="s">
        <v>299</v>
      </c>
      <c r="E17" s="255">
        <v>402</v>
      </c>
      <c r="F17" s="148">
        <v>1</v>
      </c>
      <c r="G17" s="245"/>
      <c r="H17" s="246"/>
      <c r="I17" s="246"/>
      <c r="J17" s="247"/>
      <c r="K17" s="237">
        <v>740</v>
      </c>
      <c r="L17" s="238">
        <v>917.6</v>
      </c>
      <c r="M17" s="239">
        <v>599.29999999999995</v>
      </c>
      <c r="N17" s="240">
        <v>743.13199999999995</v>
      </c>
      <c r="O17" s="248" t="s">
        <v>289</v>
      </c>
      <c r="P17" s="253"/>
      <c r="Q17" s="243">
        <v>2024</v>
      </c>
    </row>
    <row r="18" spans="1:17" ht="18" x14ac:dyDescent="0.25">
      <c r="A18" s="233">
        <v>14</v>
      </c>
      <c r="B18" s="249" t="s">
        <v>304</v>
      </c>
      <c r="C18" s="48">
        <v>3</v>
      </c>
      <c r="D18" s="80" t="s">
        <v>243</v>
      </c>
      <c r="E18" s="168">
        <v>998</v>
      </c>
      <c r="F18" s="168">
        <v>3</v>
      </c>
      <c r="G18" s="250"/>
      <c r="H18" s="251"/>
      <c r="I18" s="251"/>
      <c r="J18" s="252"/>
      <c r="K18" s="237">
        <v>1710</v>
      </c>
      <c r="L18" s="238">
        <v>2120.4</v>
      </c>
      <c r="M18" s="239">
        <v>1360.7</v>
      </c>
      <c r="N18" s="240">
        <v>1687.268</v>
      </c>
      <c r="O18" s="248" t="s">
        <v>289</v>
      </c>
      <c r="P18" s="253"/>
      <c r="Q18" s="243">
        <v>2024</v>
      </c>
    </row>
    <row r="19" spans="1:17" ht="18" x14ac:dyDescent="0.25">
      <c r="A19" s="233">
        <v>15</v>
      </c>
      <c r="B19" s="249" t="s">
        <v>305</v>
      </c>
      <c r="C19" s="48">
        <v>3</v>
      </c>
      <c r="D19" s="80" t="s">
        <v>243</v>
      </c>
      <c r="E19" s="168">
        <v>998</v>
      </c>
      <c r="F19" s="168">
        <v>3</v>
      </c>
      <c r="G19" s="250"/>
      <c r="H19" s="251"/>
      <c r="I19" s="251"/>
      <c r="J19" s="252"/>
      <c r="K19" s="237">
        <v>1710</v>
      </c>
      <c r="L19" s="238">
        <v>2120.4</v>
      </c>
      <c r="M19" s="239">
        <v>1360.7</v>
      </c>
      <c r="N19" s="240">
        <v>1687.268</v>
      </c>
      <c r="O19" s="248" t="s">
        <v>289</v>
      </c>
      <c r="P19" s="253"/>
      <c r="Q19" s="243">
        <v>2024</v>
      </c>
    </row>
    <row r="20" spans="1:17" ht="18" x14ac:dyDescent="0.25">
      <c r="A20" s="233">
        <v>16</v>
      </c>
      <c r="B20" s="249" t="s">
        <v>306</v>
      </c>
      <c r="C20" s="48">
        <v>2</v>
      </c>
      <c r="D20" s="80" t="s">
        <v>307</v>
      </c>
      <c r="E20" s="168">
        <v>1149</v>
      </c>
      <c r="F20" s="168">
        <v>1</v>
      </c>
      <c r="G20" s="250"/>
      <c r="H20" s="251"/>
      <c r="I20" s="251"/>
      <c r="J20" s="252"/>
      <c r="K20" s="237">
        <v>740</v>
      </c>
      <c r="L20" s="238">
        <v>917.6</v>
      </c>
      <c r="M20" s="239">
        <v>337.85</v>
      </c>
      <c r="N20" s="240">
        <v>418.93400000000003</v>
      </c>
      <c r="O20" s="248" t="s">
        <v>289</v>
      </c>
      <c r="P20" s="253"/>
      <c r="Q20" s="243">
        <v>2024</v>
      </c>
    </row>
    <row r="21" spans="1:17" ht="18" x14ac:dyDescent="0.25">
      <c r="A21" s="233">
        <v>17</v>
      </c>
      <c r="B21" s="234" t="s">
        <v>308</v>
      </c>
      <c r="C21" s="48">
        <v>1</v>
      </c>
      <c r="D21" s="23" t="s">
        <v>309</v>
      </c>
      <c r="E21" s="148">
        <v>296</v>
      </c>
      <c r="F21" s="148">
        <v>1</v>
      </c>
      <c r="G21" s="245"/>
      <c r="H21" s="246"/>
      <c r="I21" s="246"/>
      <c r="J21" s="247"/>
      <c r="K21" s="237">
        <v>570</v>
      </c>
      <c r="L21" s="238">
        <v>706.8</v>
      </c>
      <c r="M21" s="239">
        <v>466.4</v>
      </c>
      <c r="N21" s="240">
        <v>578.33600000000001</v>
      </c>
      <c r="O21" s="248" t="s">
        <v>289</v>
      </c>
      <c r="P21" s="253"/>
      <c r="Q21" s="243">
        <v>2024</v>
      </c>
    </row>
    <row r="22" spans="1:17" ht="18" x14ac:dyDescent="0.25">
      <c r="A22" s="233">
        <v>18</v>
      </c>
      <c r="B22" s="234" t="s">
        <v>310</v>
      </c>
      <c r="C22" s="48">
        <v>1.5</v>
      </c>
      <c r="D22" s="23" t="s">
        <v>232</v>
      </c>
      <c r="E22" s="148">
        <v>603</v>
      </c>
      <c r="F22" s="148">
        <v>1</v>
      </c>
      <c r="G22" s="245"/>
      <c r="H22" s="246"/>
      <c r="I22" s="246"/>
      <c r="J22" s="247"/>
      <c r="K22" s="237">
        <v>655</v>
      </c>
      <c r="L22" s="238">
        <v>812.2</v>
      </c>
      <c r="M22" s="239">
        <v>443.95000000000005</v>
      </c>
      <c r="N22" s="240">
        <v>550.49800000000005</v>
      </c>
      <c r="O22" s="248" t="s">
        <v>289</v>
      </c>
      <c r="P22" s="253"/>
      <c r="Q22" s="243">
        <v>2024</v>
      </c>
    </row>
    <row r="23" spans="1:17" ht="105.75" thickBot="1" x14ac:dyDescent="0.3">
      <c r="A23" s="258">
        <v>19</v>
      </c>
      <c r="B23" s="259" t="s">
        <v>311</v>
      </c>
      <c r="C23" s="260">
        <v>2</v>
      </c>
      <c r="D23" s="260" t="s">
        <v>232</v>
      </c>
      <c r="E23" s="261">
        <v>603</v>
      </c>
      <c r="F23" s="261">
        <v>1</v>
      </c>
      <c r="G23" s="262"/>
      <c r="H23" s="263"/>
      <c r="I23" s="263"/>
      <c r="J23" s="264"/>
      <c r="K23" s="265">
        <v>1593</v>
      </c>
      <c r="L23" s="266">
        <v>1975</v>
      </c>
      <c r="M23" s="267">
        <v>1422</v>
      </c>
      <c r="N23" s="268">
        <v>1764</v>
      </c>
      <c r="O23" s="269"/>
      <c r="P23" s="270" t="s">
        <v>312</v>
      </c>
      <c r="Q23" s="271">
        <v>2024</v>
      </c>
    </row>
    <row r="24" spans="1:17" ht="18.75" thickBot="1" x14ac:dyDescent="0.4">
      <c r="A24" s="272"/>
      <c r="B24" s="1329"/>
      <c r="C24" s="1329"/>
      <c r="D24" s="273"/>
      <c r="E24" s="273"/>
      <c r="F24" s="273"/>
      <c r="G24" s="273"/>
      <c r="H24" s="273"/>
      <c r="I24" s="273"/>
      <c r="J24" s="273"/>
      <c r="K24" s="273"/>
      <c r="L24" s="273"/>
      <c r="M24" s="273"/>
      <c r="N24" s="273"/>
      <c r="O24" s="273"/>
      <c r="P24" s="273"/>
      <c r="Q24" s="274"/>
    </row>
    <row r="25" spans="1:17" ht="50.25" thickBot="1" x14ac:dyDescent="0.35">
      <c r="A25" s="275"/>
      <c r="B25" s="276" t="s">
        <v>77</v>
      </c>
      <c r="C25" s="277" t="s">
        <v>313</v>
      </c>
      <c r="E25" s="20"/>
      <c r="F25" s="20"/>
      <c r="G25" s="20"/>
      <c r="H25" s="20"/>
      <c r="I25" s="20"/>
      <c r="J25" s="20"/>
      <c r="K25" s="20"/>
      <c r="L25" s="20"/>
      <c r="M25" s="20"/>
      <c r="N25" s="20"/>
      <c r="O25" s="20"/>
      <c r="P25" s="20"/>
    </row>
    <row r="26" spans="1:17" ht="16.5" x14ac:dyDescent="0.3">
      <c r="A26" s="275"/>
      <c r="B26" s="960" t="s">
        <v>79</v>
      </c>
      <c r="C26" s="961">
        <v>160</v>
      </c>
      <c r="E26" s="275"/>
      <c r="F26" s="275"/>
      <c r="G26" s="275"/>
      <c r="H26" s="275"/>
      <c r="I26" s="275"/>
      <c r="J26" s="275"/>
      <c r="K26" s="275"/>
      <c r="O26" s="275"/>
      <c r="P26" s="275"/>
    </row>
    <row r="27" spans="1:17" ht="16.5" x14ac:dyDescent="0.3">
      <c r="A27" s="275"/>
      <c r="B27" s="960" t="s">
        <v>80</v>
      </c>
      <c r="C27" s="961">
        <v>380</v>
      </c>
      <c r="E27" s="275"/>
      <c r="F27" s="275"/>
      <c r="G27" s="275"/>
      <c r="H27" s="275"/>
      <c r="I27" s="275"/>
      <c r="J27" s="275"/>
      <c r="K27" s="275"/>
      <c r="O27" s="275"/>
      <c r="P27" s="275"/>
    </row>
    <row r="28" spans="1:17" ht="17.25" thickBot="1" x14ac:dyDescent="0.35">
      <c r="A28" s="275"/>
      <c r="B28" s="964" t="s">
        <v>81</v>
      </c>
      <c r="C28" s="965">
        <v>485</v>
      </c>
      <c r="E28" s="275"/>
      <c r="F28" s="275"/>
      <c r="G28" s="275"/>
      <c r="H28" s="275"/>
      <c r="I28" s="275"/>
      <c r="J28" s="275"/>
      <c r="K28" s="275"/>
      <c r="O28" s="275"/>
      <c r="P28" s="275"/>
    </row>
    <row r="30" spans="1:17" s="62" customFormat="1" ht="18" x14ac:dyDescent="0.35">
      <c r="A30" s="20"/>
      <c r="B30" s="1200" t="s">
        <v>273</v>
      </c>
      <c r="C30" s="1200"/>
      <c r="D30" s="1200"/>
      <c r="E30" s="1200"/>
      <c r="F30" s="1200"/>
      <c r="G30" s="1200"/>
      <c r="H30" s="64"/>
      <c r="I30" s="64"/>
      <c r="J30" s="64"/>
      <c r="K30" s="3"/>
      <c r="L30" s="3"/>
    </row>
    <row r="31" spans="1:17" s="20" customFormat="1" ht="18.75" x14ac:dyDescent="0.3">
      <c r="B31" s="1225" t="s">
        <v>85</v>
      </c>
      <c r="C31" s="1226"/>
      <c r="D31" s="1226"/>
      <c r="E31" s="1226"/>
      <c r="F31" s="1226"/>
      <c r="G31" s="1226"/>
      <c r="H31" s="1226"/>
      <c r="I31" s="1226"/>
      <c r="J31" s="1226"/>
      <c r="K31" s="1226"/>
      <c r="L31" s="1330"/>
      <c r="P31" s="65"/>
    </row>
    <row r="32" spans="1:17" s="20" customFormat="1" ht="57" customHeight="1" x14ac:dyDescent="0.3">
      <c r="B32" s="1178" t="s">
        <v>95</v>
      </c>
      <c r="C32" s="1178"/>
      <c r="D32" s="1178"/>
      <c r="E32" s="1178"/>
      <c r="F32" s="1178"/>
      <c r="G32" s="1178"/>
      <c r="H32" s="1178"/>
      <c r="I32" s="1178"/>
      <c r="J32" s="1178"/>
      <c r="K32" s="1178"/>
      <c r="L32" s="1178"/>
      <c r="P32" s="65"/>
    </row>
    <row r="33" spans="2:16" s="20" customFormat="1" ht="62.25" customHeight="1" x14ac:dyDescent="0.3">
      <c r="B33" s="1178" t="s">
        <v>96</v>
      </c>
      <c r="C33" s="1178"/>
      <c r="D33" s="1178"/>
      <c r="E33" s="1178"/>
      <c r="F33" s="1178"/>
      <c r="G33" s="1178"/>
      <c r="H33" s="1178"/>
      <c r="I33" s="1178"/>
      <c r="J33" s="1178"/>
      <c r="K33" s="1178"/>
      <c r="L33" s="1178"/>
      <c r="P33" s="65"/>
    </row>
    <row r="34" spans="2:16" s="20" customFormat="1" ht="41.25" customHeight="1" x14ac:dyDescent="0.3">
      <c r="B34" s="1178" t="s">
        <v>97</v>
      </c>
      <c r="C34" s="1178"/>
      <c r="D34" s="1178"/>
      <c r="E34" s="1178"/>
      <c r="F34" s="1178"/>
      <c r="G34" s="1178"/>
      <c r="H34" s="1178"/>
      <c r="I34" s="1178"/>
      <c r="J34" s="1178"/>
      <c r="K34" s="1178"/>
      <c r="L34" s="1178"/>
      <c r="P34" s="65"/>
    </row>
    <row r="35" spans="2:16" s="20" customFormat="1" ht="70.5" customHeight="1" x14ac:dyDescent="0.3">
      <c r="B35" s="1209" t="s">
        <v>98</v>
      </c>
      <c r="C35" s="1210"/>
      <c r="D35" s="1210"/>
      <c r="E35" s="1210"/>
      <c r="F35" s="1210"/>
      <c r="G35" s="1210"/>
      <c r="H35" s="1210"/>
      <c r="I35" s="1210"/>
      <c r="J35" s="1210"/>
      <c r="K35" s="1210"/>
      <c r="L35" s="1331"/>
      <c r="P35" s="65"/>
    </row>
    <row r="36" spans="2:16" s="20" customFormat="1" ht="18" x14ac:dyDescent="0.3">
      <c r="B36" s="1178" t="s">
        <v>99</v>
      </c>
      <c r="C36" s="1178"/>
      <c r="D36" s="1178"/>
      <c r="E36" s="1178"/>
      <c r="F36" s="1178"/>
      <c r="G36" s="1178"/>
      <c r="H36" s="1178"/>
      <c r="I36" s="1178"/>
      <c r="J36" s="1178"/>
      <c r="K36" s="1178"/>
      <c r="L36" s="1178"/>
      <c r="P36" s="65"/>
    </row>
    <row r="37" spans="2:16" s="20" customFormat="1" ht="24" customHeight="1" x14ac:dyDescent="0.3">
      <c r="B37" s="1178" t="s">
        <v>100</v>
      </c>
      <c r="C37" s="1178"/>
      <c r="D37" s="1178"/>
      <c r="E37" s="1178"/>
      <c r="F37" s="1178"/>
      <c r="G37" s="1178"/>
      <c r="H37" s="1178"/>
      <c r="I37" s="1178"/>
      <c r="J37" s="1178"/>
      <c r="K37" s="1178"/>
      <c r="L37" s="1178"/>
      <c r="P37" s="65"/>
    </row>
    <row r="38" spans="2:16" s="20" customFormat="1" ht="34.5" customHeight="1" x14ac:dyDescent="0.3">
      <c r="B38" s="1209" t="s">
        <v>101</v>
      </c>
      <c r="C38" s="1210"/>
      <c r="D38" s="1210"/>
      <c r="E38" s="1210"/>
      <c r="F38" s="1210"/>
      <c r="G38" s="1210"/>
      <c r="H38" s="1210"/>
      <c r="I38" s="1210"/>
      <c r="J38" s="1210"/>
      <c r="K38" s="1210"/>
      <c r="L38" s="1331"/>
      <c r="P38" s="65"/>
    </row>
    <row r="39" spans="2:16" s="20" customFormat="1" ht="74.25" customHeight="1" x14ac:dyDescent="0.3">
      <c r="B39" s="1178" t="s">
        <v>102</v>
      </c>
      <c r="C39" s="1178"/>
      <c r="D39" s="1178"/>
      <c r="E39" s="1178"/>
      <c r="F39" s="1178"/>
      <c r="G39" s="1178"/>
      <c r="H39" s="1178"/>
      <c r="I39" s="1178"/>
      <c r="J39" s="1178"/>
      <c r="K39" s="1178"/>
      <c r="L39" s="1178"/>
      <c r="P39" s="65"/>
    </row>
    <row r="40" spans="2:16" s="20" customFormat="1" ht="18" x14ac:dyDescent="0.3">
      <c r="B40" s="75"/>
      <c r="C40" s="75"/>
      <c r="D40" s="75"/>
      <c r="E40" s="75"/>
      <c r="F40" s="279"/>
      <c r="G40" s="279"/>
      <c r="H40" s="279"/>
      <c r="I40" s="279"/>
      <c r="J40" s="279"/>
      <c r="K40" s="279"/>
      <c r="L40" s="279"/>
      <c r="P40" s="65"/>
    </row>
    <row r="41" spans="2:16" s="20" customFormat="1" ht="18.75" x14ac:dyDescent="0.35">
      <c r="B41" s="1213" t="s">
        <v>86</v>
      </c>
      <c r="C41" s="1213"/>
      <c r="D41" s="1213"/>
      <c r="E41" s="1213"/>
      <c r="F41" s="62"/>
      <c r="G41" s="62"/>
      <c r="H41" s="3"/>
      <c r="I41" s="3"/>
      <c r="J41" s="64"/>
      <c r="K41" s="3"/>
      <c r="L41" s="3"/>
      <c r="P41" s="65"/>
    </row>
    <row r="42" spans="2:16" s="20" customFormat="1" ht="132.75" customHeight="1" x14ac:dyDescent="0.35">
      <c r="B42" s="1177" t="s">
        <v>275</v>
      </c>
      <c r="C42" s="1177"/>
      <c r="D42" s="1177"/>
      <c r="E42" s="1177"/>
      <c r="F42" s="1177"/>
      <c r="G42" s="63"/>
      <c r="H42" s="64"/>
      <c r="I42" s="64"/>
      <c r="J42" s="64"/>
      <c r="K42" s="3"/>
      <c r="L42" s="3"/>
      <c r="P42" s="65"/>
    </row>
    <row r="43" spans="2:16" s="20" customFormat="1" ht="66.75" customHeight="1" x14ac:dyDescent="0.35">
      <c r="B43" s="1177" t="s">
        <v>314</v>
      </c>
      <c r="C43" s="1177"/>
      <c r="D43" s="1177"/>
      <c r="E43" s="1177"/>
      <c r="F43" s="1177"/>
      <c r="G43" s="62"/>
      <c r="H43" s="3"/>
      <c r="I43" s="3"/>
      <c r="J43" s="64"/>
      <c r="K43" s="3"/>
      <c r="L43" s="3"/>
      <c r="P43" s="65"/>
    </row>
    <row r="44" spans="2:16" s="20" customFormat="1" ht="53.25" customHeight="1" x14ac:dyDescent="0.35">
      <c r="B44" s="1178" t="s">
        <v>277</v>
      </c>
      <c r="C44" s="1178"/>
      <c r="D44" s="1178"/>
      <c r="E44" s="1178"/>
      <c r="F44" s="1178"/>
      <c r="G44" s="63"/>
      <c r="H44" s="64"/>
      <c r="I44" s="64"/>
      <c r="J44" s="64"/>
      <c r="K44" s="3"/>
      <c r="L44" s="3"/>
      <c r="P44" s="65"/>
    </row>
    <row r="45" spans="2:16" s="20" customFormat="1" ht="42.75" customHeight="1" x14ac:dyDescent="0.35">
      <c r="B45" s="1177" t="s">
        <v>89</v>
      </c>
      <c r="C45" s="1177"/>
      <c r="D45" s="1177"/>
      <c r="E45" s="1177"/>
      <c r="F45" s="1177"/>
      <c r="G45" s="62"/>
      <c r="H45" s="3"/>
      <c r="I45" s="3"/>
      <c r="J45" s="64"/>
      <c r="K45" s="3"/>
      <c r="L45" s="3"/>
      <c r="P45" s="65"/>
    </row>
    <row r="46" spans="2:16" s="20" customFormat="1" ht="24" customHeight="1" x14ac:dyDescent="0.35">
      <c r="B46" s="1178" t="s">
        <v>90</v>
      </c>
      <c r="C46" s="1178"/>
      <c r="D46" s="1178"/>
      <c r="E46" s="1178"/>
      <c r="F46" s="1178"/>
      <c r="G46" s="62"/>
      <c r="H46" s="3"/>
      <c r="I46" s="3"/>
      <c r="J46" s="64"/>
      <c r="K46" s="3"/>
      <c r="L46" s="3"/>
      <c r="P46" s="65"/>
    </row>
    <row r="47" spans="2:16" s="20" customFormat="1" ht="17.25" customHeight="1" x14ac:dyDescent="0.35">
      <c r="B47" s="1178" t="s">
        <v>91</v>
      </c>
      <c r="C47" s="1178"/>
      <c r="D47" s="1178"/>
      <c r="E47" s="1178"/>
      <c r="F47" s="1178"/>
      <c r="G47" s="62"/>
      <c r="H47" s="3"/>
      <c r="I47" s="3"/>
      <c r="J47" s="64"/>
      <c r="K47" s="3"/>
      <c r="L47" s="3"/>
      <c r="P47" s="65"/>
    </row>
    <row r="48" spans="2:16" ht="74.25" customHeight="1" x14ac:dyDescent="0.25">
      <c r="B48" s="1178" t="s">
        <v>315</v>
      </c>
      <c r="C48" s="1178"/>
      <c r="D48" s="1178"/>
      <c r="E48" s="1178"/>
      <c r="F48" s="1178"/>
    </row>
  </sheetData>
  <mergeCells count="35">
    <mergeCell ref="A1:Q1"/>
    <mergeCell ref="A2:A4"/>
    <mergeCell ref="B2:B4"/>
    <mergeCell ref="C2:C4"/>
    <mergeCell ref="D2:D4"/>
    <mergeCell ref="E2:E4"/>
    <mergeCell ref="F2:F4"/>
    <mergeCell ref="G2:J2"/>
    <mergeCell ref="K2:N2"/>
    <mergeCell ref="O2:O4"/>
    <mergeCell ref="P2:P4"/>
    <mergeCell ref="Q2:Q4"/>
    <mergeCell ref="G3:H3"/>
    <mergeCell ref="I3:J3"/>
    <mergeCell ref="K3:L3"/>
    <mergeCell ref="M3:N3"/>
    <mergeCell ref="B41:E41"/>
    <mergeCell ref="B24:C24"/>
    <mergeCell ref="B30:G30"/>
    <mergeCell ref="B31:L31"/>
    <mergeCell ref="B32:L32"/>
    <mergeCell ref="B33:L33"/>
    <mergeCell ref="B34:L34"/>
    <mergeCell ref="B35:L35"/>
    <mergeCell ref="B36:L36"/>
    <mergeCell ref="B37:L37"/>
    <mergeCell ref="B38:L38"/>
    <mergeCell ref="B39:L39"/>
    <mergeCell ref="B48:F48"/>
    <mergeCell ref="B42:F42"/>
    <mergeCell ref="B43:F43"/>
    <mergeCell ref="B44:F44"/>
    <mergeCell ref="B45:F45"/>
    <mergeCell ref="B46:F46"/>
    <mergeCell ref="B47:F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0C63-7DC5-4278-9C6D-C9A3A0263577}">
  <dimension ref="A1:AJ101"/>
  <sheetViews>
    <sheetView topLeftCell="A29" workbookViewId="0">
      <selection activeCell="M39" sqref="M39"/>
    </sheetView>
  </sheetViews>
  <sheetFormatPr defaultRowHeight="15" x14ac:dyDescent="0.25"/>
  <cols>
    <col min="2" max="2" width="16.5703125" customWidth="1"/>
    <col min="3" max="3" width="23.7109375" customWidth="1"/>
    <col min="4" max="4" width="93" customWidth="1"/>
    <col min="5" max="5" width="15.42578125" customWidth="1"/>
    <col min="6" max="6" width="10.140625" customWidth="1"/>
    <col min="7" max="7" width="15.7109375" customWidth="1"/>
    <col min="8" max="8" width="9.7109375" hidden="1" customWidth="1"/>
    <col min="9" max="9" width="13.7109375" customWidth="1"/>
    <col min="10" max="10" width="13" customWidth="1"/>
    <col min="11" max="11" width="10" customWidth="1"/>
    <col min="12" max="12" width="14.5703125" hidden="1" customWidth="1"/>
    <col min="13" max="13" width="15.42578125" customWidth="1"/>
    <col min="14" max="14" width="15.140625" hidden="1" customWidth="1"/>
    <col min="15" max="15" width="14.42578125" customWidth="1"/>
    <col min="16" max="16" width="14.5703125" hidden="1" customWidth="1"/>
    <col min="17" max="17" width="14.5703125" customWidth="1"/>
    <col min="18" max="18" width="13.42578125" hidden="1" customWidth="1"/>
    <col min="19" max="19" width="13.7109375" customWidth="1"/>
    <col min="20" max="20" width="22.85546875" style="337" customWidth="1"/>
    <col min="21" max="21" width="23.42578125" bestFit="1" customWidth="1"/>
    <col min="22" max="22" width="11.42578125" customWidth="1"/>
  </cols>
  <sheetData>
    <row r="1" spans="1:22" ht="7.5" customHeight="1" thickBot="1" x14ac:dyDescent="0.3"/>
    <row r="2" spans="1:22" ht="35.25" customHeight="1" thickBot="1" x14ac:dyDescent="0.3">
      <c r="A2" s="1414" t="s">
        <v>361</v>
      </c>
      <c r="B2" s="1415"/>
      <c r="C2" s="1415"/>
      <c r="D2" s="1415"/>
      <c r="E2" s="1416"/>
      <c r="F2" s="1416"/>
      <c r="G2" s="1416"/>
      <c r="H2" s="1416"/>
      <c r="I2" s="1416"/>
      <c r="J2" s="1416"/>
      <c r="K2" s="1416"/>
      <c r="L2" s="1416"/>
      <c r="M2" s="1416"/>
      <c r="N2" s="1416"/>
      <c r="O2" s="1416"/>
      <c r="P2" s="1416"/>
      <c r="Q2" s="1416"/>
      <c r="R2" s="1416"/>
      <c r="S2" s="1416"/>
      <c r="T2" s="1416"/>
      <c r="U2" s="1416"/>
      <c r="V2" s="1417"/>
    </row>
    <row r="3" spans="1:22" ht="19.5" customHeight="1" thickBot="1" x14ac:dyDescent="0.35">
      <c r="A3" s="1324" t="s">
        <v>1</v>
      </c>
      <c r="B3" s="1418" t="s">
        <v>2</v>
      </c>
      <c r="C3" s="1418"/>
      <c r="D3" s="1418"/>
      <c r="E3" s="1130"/>
      <c r="F3" s="1419" t="s">
        <v>280</v>
      </c>
      <c r="G3" s="1421" t="s">
        <v>362</v>
      </c>
      <c r="H3" s="1131" t="s">
        <v>16</v>
      </c>
      <c r="I3" s="1423" t="s">
        <v>16</v>
      </c>
      <c r="J3" s="1425" t="s">
        <v>5</v>
      </c>
      <c r="K3" s="1425"/>
      <c r="L3" s="1132" t="s">
        <v>363</v>
      </c>
      <c r="M3" s="1423" t="s">
        <v>13</v>
      </c>
      <c r="N3" s="1426" t="s">
        <v>79</v>
      </c>
      <c r="O3" s="1423"/>
      <c r="P3" s="1426" t="s">
        <v>80</v>
      </c>
      <c r="Q3" s="1428"/>
      <c r="R3" s="1428" t="s">
        <v>81</v>
      </c>
      <c r="S3" s="1430"/>
      <c r="T3" s="1432" t="s">
        <v>8</v>
      </c>
      <c r="U3" s="1432" t="s">
        <v>9</v>
      </c>
      <c r="V3" s="1434"/>
    </row>
    <row r="4" spans="1:22" ht="40.5" customHeight="1" thickBot="1" x14ac:dyDescent="0.35">
      <c r="A4" s="1324"/>
      <c r="B4" s="1418"/>
      <c r="C4" s="1418"/>
      <c r="D4" s="1418"/>
      <c r="E4" s="1133" t="s">
        <v>364</v>
      </c>
      <c r="F4" s="1420"/>
      <c r="G4" s="1422"/>
      <c r="H4" s="1131" t="s">
        <v>16</v>
      </c>
      <c r="I4" s="1424"/>
      <c r="J4" s="1134" t="s">
        <v>11</v>
      </c>
      <c r="K4" s="1134" t="s">
        <v>365</v>
      </c>
      <c r="L4" s="1135"/>
      <c r="M4" s="1424" t="s">
        <v>366</v>
      </c>
      <c r="N4" s="1427"/>
      <c r="O4" s="1424"/>
      <c r="P4" s="1427"/>
      <c r="Q4" s="1429"/>
      <c r="R4" s="1429"/>
      <c r="S4" s="1431"/>
      <c r="T4" s="1433"/>
      <c r="U4" s="1433"/>
      <c r="V4" s="1431"/>
    </row>
    <row r="5" spans="1:22" s="280" customFormat="1" ht="20.100000000000001" customHeight="1" x14ac:dyDescent="0.25">
      <c r="A5" s="350">
        <v>1</v>
      </c>
      <c r="B5" s="1397" t="s">
        <v>367</v>
      </c>
      <c r="C5" s="1377" t="s">
        <v>368</v>
      </c>
      <c r="D5" s="351" t="s">
        <v>24</v>
      </c>
      <c r="E5" s="352" t="s">
        <v>369</v>
      </c>
      <c r="F5" s="353">
        <v>2</v>
      </c>
      <c r="G5" s="354" t="s">
        <v>19</v>
      </c>
      <c r="H5" s="355"/>
      <c r="I5" s="355"/>
      <c r="J5" s="356">
        <v>1</v>
      </c>
      <c r="K5" s="357">
        <v>1</v>
      </c>
      <c r="L5" s="358">
        <v>1364</v>
      </c>
      <c r="M5" s="358">
        <v>1691.36</v>
      </c>
      <c r="N5" s="355">
        <v>1514</v>
      </c>
      <c r="O5" s="355">
        <v>1877.36</v>
      </c>
      <c r="P5" s="359">
        <v>1664</v>
      </c>
      <c r="Q5" s="355">
        <v>2063.36</v>
      </c>
      <c r="R5" s="355">
        <v>1814</v>
      </c>
      <c r="S5" s="355">
        <v>2249.36</v>
      </c>
      <c r="T5" s="360" t="s">
        <v>370</v>
      </c>
      <c r="U5" s="1378"/>
      <c r="V5" s="1379"/>
    </row>
    <row r="6" spans="1:22" s="280" customFormat="1" ht="20.100000000000001" customHeight="1" x14ac:dyDescent="0.25">
      <c r="A6" s="361">
        <v>2</v>
      </c>
      <c r="B6" s="1373"/>
      <c r="C6" s="1380"/>
      <c r="D6" s="363" t="s">
        <v>25</v>
      </c>
      <c r="E6" s="364" t="s">
        <v>369</v>
      </c>
      <c r="F6" s="167">
        <v>1</v>
      </c>
      <c r="G6" s="365" t="s">
        <v>19</v>
      </c>
      <c r="H6" s="366"/>
      <c r="I6" s="366"/>
      <c r="J6" s="367">
        <v>1</v>
      </c>
      <c r="K6" s="368"/>
      <c r="L6" s="369">
        <v>694</v>
      </c>
      <c r="M6" s="369">
        <v>860.56</v>
      </c>
      <c r="N6" s="366">
        <v>844</v>
      </c>
      <c r="O6" s="366">
        <v>1046.56</v>
      </c>
      <c r="P6" s="366">
        <v>994</v>
      </c>
      <c r="Q6" s="366">
        <v>1232.56</v>
      </c>
      <c r="R6" s="366">
        <v>1144</v>
      </c>
      <c r="S6" s="366">
        <v>1418.56</v>
      </c>
      <c r="T6" s="370" t="s">
        <v>370</v>
      </c>
      <c r="U6" s="1365"/>
      <c r="V6" s="1366"/>
    </row>
    <row r="7" spans="1:22" s="280" customFormat="1" ht="20.100000000000001" customHeight="1" x14ac:dyDescent="0.25">
      <c r="A7" s="361">
        <v>3</v>
      </c>
      <c r="B7" s="1373"/>
      <c r="C7" s="1380"/>
      <c r="D7" s="363" t="s">
        <v>26</v>
      </c>
      <c r="E7" s="86" t="s">
        <v>371</v>
      </c>
      <c r="F7" s="167">
        <v>1</v>
      </c>
      <c r="G7" s="365" t="s">
        <v>19</v>
      </c>
      <c r="H7" s="366"/>
      <c r="I7" s="366"/>
      <c r="J7" s="367">
        <v>1</v>
      </c>
      <c r="K7" s="368"/>
      <c r="L7" s="369">
        <v>694</v>
      </c>
      <c r="M7" s="369">
        <v>860.56</v>
      </c>
      <c r="N7" s="366">
        <v>844</v>
      </c>
      <c r="O7" s="366">
        <v>1046.56</v>
      </c>
      <c r="P7" s="366">
        <v>994</v>
      </c>
      <c r="Q7" s="366">
        <v>1232.56</v>
      </c>
      <c r="R7" s="366">
        <v>1144</v>
      </c>
      <c r="S7" s="366">
        <v>1418.56</v>
      </c>
      <c r="T7" s="370" t="s">
        <v>370</v>
      </c>
      <c r="U7" s="1365"/>
      <c r="V7" s="1366"/>
    </row>
    <row r="8" spans="1:22" s="280" customFormat="1" ht="20.100000000000001" customHeight="1" x14ac:dyDescent="0.25">
      <c r="A8" s="361">
        <v>4</v>
      </c>
      <c r="B8" s="1373"/>
      <c r="C8" s="1380"/>
      <c r="D8" s="363" t="s">
        <v>372</v>
      </c>
      <c r="E8" s="364" t="s">
        <v>371</v>
      </c>
      <c r="F8" s="167">
        <v>1</v>
      </c>
      <c r="G8" s="365" t="s">
        <v>19</v>
      </c>
      <c r="H8" s="366"/>
      <c r="I8" s="366"/>
      <c r="J8" s="367">
        <v>1</v>
      </c>
      <c r="K8" s="368"/>
      <c r="L8" s="369">
        <v>694</v>
      </c>
      <c r="M8" s="369">
        <v>860.56</v>
      </c>
      <c r="N8" s="366">
        <v>844</v>
      </c>
      <c r="O8" s="366">
        <v>1046.56</v>
      </c>
      <c r="P8" s="366">
        <v>994</v>
      </c>
      <c r="Q8" s="366">
        <v>1232.56</v>
      </c>
      <c r="R8" s="366">
        <v>1144</v>
      </c>
      <c r="S8" s="366">
        <v>1418.56</v>
      </c>
      <c r="T8" s="370" t="s">
        <v>370</v>
      </c>
      <c r="U8" s="1365"/>
      <c r="V8" s="1366"/>
    </row>
    <row r="9" spans="1:22" s="280" customFormat="1" ht="20.100000000000001" customHeight="1" x14ac:dyDescent="0.25">
      <c r="A9" s="361">
        <v>5</v>
      </c>
      <c r="B9" s="1373"/>
      <c r="C9" s="1380"/>
      <c r="D9" s="363" t="s">
        <v>21</v>
      </c>
      <c r="E9" s="86" t="s">
        <v>371</v>
      </c>
      <c r="F9" s="167">
        <v>1</v>
      </c>
      <c r="G9" s="365" t="s">
        <v>19</v>
      </c>
      <c r="H9" s="366"/>
      <c r="I9" s="366"/>
      <c r="J9" s="367">
        <v>1</v>
      </c>
      <c r="K9" s="371"/>
      <c r="L9" s="369">
        <v>694</v>
      </c>
      <c r="M9" s="369">
        <v>860.56</v>
      </c>
      <c r="N9" s="366">
        <v>844</v>
      </c>
      <c r="O9" s="366">
        <v>1046.56</v>
      </c>
      <c r="P9" s="366">
        <v>994</v>
      </c>
      <c r="Q9" s="366">
        <v>1232.56</v>
      </c>
      <c r="R9" s="366">
        <v>1144</v>
      </c>
      <c r="S9" s="366">
        <v>1418.56</v>
      </c>
      <c r="T9" s="370" t="s">
        <v>370</v>
      </c>
      <c r="U9" s="1365"/>
      <c r="V9" s="1366"/>
    </row>
    <row r="10" spans="1:22" s="280" customFormat="1" ht="30" x14ac:dyDescent="0.25">
      <c r="A10" s="361">
        <v>6</v>
      </c>
      <c r="B10" s="1373"/>
      <c r="C10" s="1380"/>
      <c r="D10" s="372" t="s">
        <v>52</v>
      </c>
      <c r="E10" s="86" t="s">
        <v>371</v>
      </c>
      <c r="F10" s="167">
        <v>1</v>
      </c>
      <c r="G10" s="365" t="s">
        <v>19</v>
      </c>
      <c r="H10" s="366"/>
      <c r="I10" s="366"/>
      <c r="J10" s="367">
        <v>1</v>
      </c>
      <c r="K10" s="371"/>
      <c r="L10" s="369">
        <v>694</v>
      </c>
      <c r="M10" s="369">
        <v>860.56</v>
      </c>
      <c r="N10" s="366">
        <v>844</v>
      </c>
      <c r="O10" s="366">
        <v>1046.56</v>
      </c>
      <c r="P10" s="366">
        <v>994</v>
      </c>
      <c r="Q10" s="366">
        <v>1232.56</v>
      </c>
      <c r="R10" s="366">
        <v>1144</v>
      </c>
      <c r="S10" s="366">
        <v>1418.56</v>
      </c>
      <c r="T10" s="370" t="s">
        <v>370</v>
      </c>
      <c r="U10" s="1365"/>
      <c r="V10" s="1366"/>
    </row>
    <row r="11" spans="1:22" s="280" customFormat="1" ht="20.100000000000001" customHeight="1" x14ac:dyDescent="0.25">
      <c r="A11" s="361">
        <v>7</v>
      </c>
      <c r="B11" s="1373"/>
      <c r="C11" s="1380"/>
      <c r="D11" s="363" t="s">
        <v>23</v>
      </c>
      <c r="E11" s="364" t="s">
        <v>371</v>
      </c>
      <c r="F11" s="167">
        <v>1</v>
      </c>
      <c r="G11" s="365" t="s">
        <v>19</v>
      </c>
      <c r="H11" s="366"/>
      <c r="I11" s="366"/>
      <c r="J11" s="367">
        <v>1</v>
      </c>
      <c r="K11" s="371"/>
      <c r="L11" s="369">
        <v>694</v>
      </c>
      <c r="M11" s="369">
        <v>860.56</v>
      </c>
      <c r="N11" s="366">
        <v>844</v>
      </c>
      <c r="O11" s="366">
        <v>1046.56</v>
      </c>
      <c r="P11" s="366">
        <v>994</v>
      </c>
      <c r="Q11" s="366">
        <v>1232.56</v>
      </c>
      <c r="R11" s="366">
        <v>1144</v>
      </c>
      <c r="S11" s="366">
        <v>1418.56</v>
      </c>
      <c r="T11" s="370" t="s">
        <v>370</v>
      </c>
      <c r="U11" s="1365"/>
      <c r="V11" s="1366"/>
    </row>
    <row r="12" spans="1:22" s="280" customFormat="1" ht="20.100000000000001" customHeight="1" x14ac:dyDescent="0.25">
      <c r="A12" s="361">
        <v>8</v>
      </c>
      <c r="B12" s="1373"/>
      <c r="C12" s="1380"/>
      <c r="D12" s="363" t="s">
        <v>22</v>
      </c>
      <c r="E12" s="86" t="s">
        <v>371</v>
      </c>
      <c r="F12" s="167">
        <v>1</v>
      </c>
      <c r="G12" s="365" t="s">
        <v>19</v>
      </c>
      <c r="H12" s="366"/>
      <c r="I12" s="366"/>
      <c r="J12" s="367">
        <v>1</v>
      </c>
      <c r="K12" s="371"/>
      <c r="L12" s="369">
        <v>694</v>
      </c>
      <c r="M12" s="369">
        <v>860.56</v>
      </c>
      <c r="N12" s="366">
        <v>844</v>
      </c>
      <c r="O12" s="366">
        <v>1046.56</v>
      </c>
      <c r="P12" s="366">
        <v>994</v>
      </c>
      <c r="Q12" s="366">
        <v>1232.56</v>
      </c>
      <c r="R12" s="366">
        <v>1144</v>
      </c>
      <c r="S12" s="366">
        <v>1418.56</v>
      </c>
      <c r="T12" s="370" t="s">
        <v>370</v>
      </c>
      <c r="U12" s="1365"/>
      <c r="V12" s="1366"/>
    </row>
    <row r="13" spans="1:22" s="280" customFormat="1" ht="30" x14ac:dyDescent="0.25">
      <c r="A13" s="361">
        <v>10</v>
      </c>
      <c r="B13" s="1373"/>
      <c r="C13" s="1411" t="s">
        <v>373</v>
      </c>
      <c r="D13" s="363" t="s">
        <v>30</v>
      </c>
      <c r="E13" s="373" t="s">
        <v>374</v>
      </c>
      <c r="F13" s="167">
        <v>1</v>
      </c>
      <c r="G13" s="365" t="s">
        <v>19</v>
      </c>
      <c r="H13" s="366"/>
      <c r="I13" s="366"/>
      <c r="J13" s="367">
        <v>1</v>
      </c>
      <c r="K13" s="371"/>
      <c r="L13" s="369">
        <v>694</v>
      </c>
      <c r="M13" s="369">
        <v>860.56</v>
      </c>
      <c r="N13" s="366">
        <v>844</v>
      </c>
      <c r="O13" s="366">
        <v>1046.56</v>
      </c>
      <c r="P13" s="366">
        <v>994</v>
      </c>
      <c r="Q13" s="366">
        <v>1232.56</v>
      </c>
      <c r="R13" s="366">
        <v>1144</v>
      </c>
      <c r="S13" s="366">
        <v>1418.56</v>
      </c>
      <c r="T13" s="370" t="s">
        <v>370</v>
      </c>
      <c r="U13" s="1365"/>
      <c r="V13" s="1366"/>
    </row>
    <row r="14" spans="1:22" s="280" customFormat="1" ht="20.100000000000001" customHeight="1" x14ac:dyDescent="0.25">
      <c r="A14" s="361">
        <v>11</v>
      </c>
      <c r="B14" s="1373"/>
      <c r="C14" s="1412"/>
      <c r="D14" s="363" t="s">
        <v>18</v>
      </c>
      <c r="E14" s="364" t="s">
        <v>371</v>
      </c>
      <c r="F14" s="167">
        <v>1</v>
      </c>
      <c r="G14" s="365" t="s">
        <v>19</v>
      </c>
      <c r="H14" s="366"/>
      <c r="I14" s="366"/>
      <c r="J14" s="367">
        <v>1</v>
      </c>
      <c r="K14" s="371"/>
      <c r="L14" s="369">
        <v>694</v>
      </c>
      <c r="M14" s="369">
        <v>860.56</v>
      </c>
      <c r="N14" s="366">
        <v>844</v>
      </c>
      <c r="O14" s="366">
        <v>1046.56</v>
      </c>
      <c r="P14" s="366">
        <v>994</v>
      </c>
      <c r="Q14" s="366">
        <v>1232.56</v>
      </c>
      <c r="R14" s="366">
        <v>1144</v>
      </c>
      <c r="S14" s="366">
        <v>1418.56</v>
      </c>
      <c r="T14" s="370" t="s">
        <v>370</v>
      </c>
      <c r="U14" s="1365"/>
      <c r="V14" s="1366"/>
    </row>
    <row r="15" spans="1:22" s="280" customFormat="1" ht="20.100000000000001" customHeight="1" x14ac:dyDescent="0.25">
      <c r="A15" s="361">
        <v>12</v>
      </c>
      <c r="B15" s="1373"/>
      <c r="C15" s="1413"/>
      <c r="D15" s="363" t="s">
        <v>31</v>
      </c>
      <c r="E15" s="86" t="s">
        <v>371</v>
      </c>
      <c r="F15" s="167">
        <v>1</v>
      </c>
      <c r="G15" s="365" t="s">
        <v>19</v>
      </c>
      <c r="H15" s="366"/>
      <c r="I15" s="366"/>
      <c r="J15" s="367">
        <v>1</v>
      </c>
      <c r="K15" s="371"/>
      <c r="L15" s="369">
        <v>694</v>
      </c>
      <c r="M15" s="369">
        <v>860.56</v>
      </c>
      <c r="N15" s="366">
        <v>844</v>
      </c>
      <c r="O15" s="366">
        <v>1046.56</v>
      </c>
      <c r="P15" s="366">
        <v>994</v>
      </c>
      <c r="Q15" s="366">
        <v>1232.56</v>
      </c>
      <c r="R15" s="366">
        <v>1144</v>
      </c>
      <c r="S15" s="366">
        <v>1418.56</v>
      </c>
      <c r="T15" s="370" t="s">
        <v>370</v>
      </c>
      <c r="U15" s="1365"/>
      <c r="V15" s="1366"/>
    </row>
    <row r="16" spans="1:22" s="280" customFormat="1" ht="16.5" x14ac:dyDescent="0.25">
      <c r="A16" s="361">
        <v>13</v>
      </c>
      <c r="B16" s="1373"/>
      <c r="C16" s="1389" t="s">
        <v>375</v>
      </c>
      <c r="D16" s="363" t="s">
        <v>47</v>
      </c>
      <c r="E16" s="363"/>
      <c r="F16" s="167">
        <v>2</v>
      </c>
      <c r="G16" s="365" t="s">
        <v>19</v>
      </c>
      <c r="H16" s="366"/>
      <c r="I16" s="366"/>
      <c r="J16" s="367">
        <v>2</v>
      </c>
      <c r="K16" s="368">
        <v>1</v>
      </c>
      <c r="L16" s="369">
        <v>1764</v>
      </c>
      <c r="M16" s="369">
        <v>2187.36</v>
      </c>
      <c r="N16" s="366">
        <v>1914</v>
      </c>
      <c r="O16" s="366">
        <v>2373.36</v>
      </c>
      <c r="P16" s="366">
        <v>2064</v>
      </c>
      <c r="Q16" s="366">
        <v>2559.36</v>
      </c>
      <c r="R16" s="366">
        <v>2214</v>
      </c>
      <c r="S16" s="366">
        <v>2745.36</v>
      </c>
      <c r="T16" s="370" t="s">
        <v>370</v>
      </c>
      <c r="U16" s="1390"/>
      <c r="V16" s="1391"/>
    </row>
    <row r="17" spans="1:22" s="280" customFormat="1" ht="30" x14ac:dyDescent="0.25">
      <c r="A17" s="361">
        <v>14</v>
      </c>
      <c r="B17" s="1373"/>
      <c r="C17" s="1376"/>
      <c r="D17" s="372" t="s">
        <v>50</v>
      </c>
      <c r="E17" s="372"/>
      <c r="F17" s="167">
        <v>2</v>
      </c>
      <c r="G17" s="365" t="s">
        <v>19</v>
      </c>
      <c r="H17" s="366"/>
      <c r="I17" s="366"/>
      <c r="J17" s="367">
        <v>2</v>
      </c>
      <c r="K17" s="368">
        <v>1</v>
      </c>
      <c r="L17" s="369">
        <v>1764</v>
      </c>
      <c r="M17" s="369">
        <v>2187.36</v>
      </c>
      <c r="N17" s="366">
        <v>1914</v>
      </c>
      <c r="O17" s="366">
        <v>2373.36</v>
      </c>
      <c r="P17" s="366">
        <v>2064</v>
      </c>
      <c r="Q17" s="366">
        <v>2559.36</v>
      </c>
      <c r="R17" s="366">
        <v>2214</v>
      </c>
      <c r="S17" s="366">
        <v>2745.36</v>
      </c>
      <c r="T17" s="370" t="s">
        <v>370</v>
      </c>
      <c r="U17" s="1390"/>
      <c r="V17" s="1391"/>
    </row>
    <row r="18" spans="1:22" s="280" customFormat="1" ht="30" x14ac:dyDescent="0.25">
      <c r="A18" s="361">
        <v>15</v>
      </c>
      <c r="B18" s="1373"/>
      <c r="C18" s="1376"/>
      <c r="D18" s="372" t="s">
        <v>51</v>
      </c>
      <c r="E18" s="372"/>
      <c r="F18" s="167">
        <v>2</v>
      </c>
      <c r="G18" s="365" t="s">
        <v>19</v>
      </c>
      <c r="H18" s="366"/>
      <c r="I18" s="366"/>
      <c r="J18" s="367">
        <v>3</v>
      </c>
      <c r="K18" s="368">
        <v>1</v>
      </c>
      <c r="L18" s="369">
        <v>2164</v>
      </c>
      <c r="M18" s="369">
        <v>2683.36</v>
      </c>
      <c r="N18" s="366">
        <v>2314</v>
      </c>
      <c r="O18" s="366">
        <v>2869.36</v>
      </c>
      <c r="P18" s="366">
        <v>2464</v>
      </c>
      <c r="Q18" s="366">
        <v>3055.36</v>
      </c>
      <c r="R18" s="366">
        <v>2614</v>
      </c>
      <c r="S18" s="366">
        <v>3241.36</v>
      </c>
      <c r="T18" s="370" t="s">
        <v>370</v>
      </c>
      <c r="U18" s="1390"/>
      <c r="V18" s="1391"/>
    </row>
    <row r="19" spans="1:22" s="280" customFormat="1" ht="41.25" customHeight="1" x14ac:dyDescent="0.25">
      <c r="A19" s="361">
        <v>16</v>
      </c>
      <c r="B19" s="1373"/>
      <c r="C19" s="1376"/>
      <c r="D19" s="363" t="s">
        <v>376</v>
      </c>
      <c r="E19" s="363"/>
      <c r="F19" s="167">
        <v>3</v>
      </c>
      <c r="G19" s="375" t="s">
        <v>377</v>
      </c>
      <c r="H19" s="366"/>
      <c r="I19" s="366"/>
      <c r="J19" s="367">
        <v>2</v>
      </c>
      <c r="K19" s="368">
        <v>1</v>
      </c>
      <c r="L19" s="369">
        <v>150</v>
      </c>
      <c r="M19" s="369">
        <v>186</v>
      </c>
      <c r="N19" s="366">
        <v>300</v>
      </c>
      <c r="O19" s="366">
        <v>372</v>
      </c>
      <c r="P19" s="366">
        <v>450</v>
      </c>
      <c r="Q19" s="366">
        <v>558</v>
      </c>
      <c r="R19" s="366">
        <v>600</v>
      </c>
      <c r="S19" s="366">
        <v>744</v>
      </c>
      <c r="T19" s="376" t="s">
        <v>56</v>
      </c>
      <c r="U19" s="1390"/>
      <c r="V19" s="1391"/>
    </row>
    <row r="20" spans="1:22" s="280" customFormat="1" ht="16.5" customHeight="1" x14ac:dyDescent="0.25">
      <c r="A20" s="1399">
        <v>17</v>
      </c>
      <c r="B20" s="1373"/>
      <c r="C20" s="1376"/>
      <c r="D20" s="1402" t="s">
        <v>376</v>
      </c>
      <c r="E20" s="1405"/>
      <c r="F20" s="1405">
        <v>3</v>
      </c>
      <c r="G20" s="1408" t="s">
        <v>377</v>
      </c>
      <c r="H20" s="1405"/>
      <c r="I20" s="1405"/>
      <c r="J20" s="1405">
        <v>2</v>
      </c>
      <c r="K20" s="1405">
        <v>1</v>
      </c>
      <c r="L20" s="1386">
        <v>325</v>
      </c>
      <c r="M20" s="1386">
        <v>400</v>
      </c>
      <c r="N20" s="1383">
        <v>475</v>
      </c>
      <c r="O20" s="1383">
        <v>590</v>
      </c>
      <c r="P20" s="1383">
        <v>625</v>
      </c>
      <c r="Q20" s="1383">
        <v>775</v>
      </c>
      <c r="R20" s="1383">
        <v>775</v>
      </c>
      <c r="S20" s="1383">
        <v>960</v>
      </c>
      <c r="T20" s="1392" t="s">
        <v>378</v>
      </c>
      <c r="U20" s="378" t="s">
        <v>379</v>
      </c>
      <c r="V20" s="379" t="s">
        <v>380</v>
      </c>
    </row>
    <row r="21" spans="1:22" s="280" customFormat="1" ht="27" x14ac:dyDescent="0.25">
      <c r="A21" s="1400"/>
      <c r="B21" s="1373"/>
      <c r="C21" s="1376"/>
      <c r="D21" s="1403"/>
      <c r="E21" s="1406"/>
      <c r="F21" s="1406"/>
      <c r="G21" s="1409"/>
      <c r="H21" s="1406"/>
      <c r="I21" s="1406"/>
      <c r="J21" s="1406"/>
      <c r="K21" s="1406"/>
      <c r="L21" s="1387"/>
      <c r="M21" s="1387"/>
      <c r="N21" s="1384"/>
      <c r="O21" s="1384"/>
      <c r="P21" s="1384"/>
      <c r="Q21" s="1384"/>
      <c r="R21" s="1384"/>
      <c r="S21" s="1384"/>
      <c r="T21" s="1393"/>
      <c r="U21" s="380" t="s">
        <v>381</v>
      </c>
      <c r="V21" s="381">
        <v>1</v>
      </c>
    </row>
    <row r="22" spans="1:22" s="280" customFormat="1" ht="40.5" x14ac:dyDescent="0.25">
      <c r="A22" s="1400"/>
      <c r="B22" s="1373"/>
      <c r="C22" s="1376"/>
      <c r="D22" s="1403"/>
      <c r="E22" s="1406"/>
      <c r="F22" s="1406"/>
      <c r="G22" s="1409"/>
      <c r="H22" s="1406"/>
      <c r="I22" s="1406"/>
      <c r="J22" s="1406"/>
      <c r="K22" s="1406"/>
      <c r="L22" s="1387"/>
      <c r="M22" s="1387"/>
      <c r="N22" s="1384"/>
      <c r="O22" s="1384"/>
      <c r="P22" s="1384"/>
      <c r="Q22" s="1384"/>
      <c r="R22" s="1384"/>
      <c r="S22" s="1384"/>
      <c r="T22" s="1393"/>
      <c r="U22" s="380" t="s">
        <v>382</v>
      </c>
      <c r="V22" s="381">
        <v>1</v>
      </c>
    </row>
    <row r="23" spans="1:22" s="280" customFormat="1" ht="27" customHeight="1" x14ac:dyDescent="0.25">
      <c r="A23" s="1400"/>
      <c r="B23" s="1373"/>
      <c r="C23" s="1376"/>
      <c r="D23" s="1403"/>
      <c r="E23" s="1406"/>
      <c r="F23" s="1406"/>
      <c r="G23" s="1409"/>
      <c r="H23" s="1406"/>
      <c r="I23" s="1406"/>
      <c r="J23" s="1406"/>
      <c r="K23" s="1406"/>
      <c r="L23" s="1387"/>
      <c r="M23" s="1387"/>
      <c r="N23" s="1384"/>
      <c r="O23" s="1384"/>
      <c r="P23" s="1384"/>
      <c r="Q23" s="1384"/>
      <c r="R23" s="1384"/>
      <c r="S23" s="1384"/>
      <c r="T23" s="1393"/>
      <c r="U23" s="380" t="s">
        <v>383</v>
      </c>
      <c r="V23" s="381">
        <v>1</v>
      </c>
    </row>
    <row r="24" spans="1:22" s="280" customFormat="1" ht="27" x14ac:dyDescent="0.25">
      <c r="A24" s="1400"/>
      <c r="B24" s="1373"/>
      <c r="C24" s="1376"/>
      <c r="D24" s="1403"/>
      <c r="E24" s="1406"/>
      <c r="F24" s="1406"/>
      <c r="G24" s="1409"/>
      <c r="H24" s="1406"/>
      <c r="I24" s="1406"/>
      <c r="J24" s="1406"/>
      <c r="K24" s="1406"/>
      <c r="L24" s="1387"/>
      <c r="M24" s="1387"/>
      <c r="N24" s="1384"/>
      <c r="O24" s="1384"/>
      <c r="P24" s="1384"/>
      <c r="Q24" s="1384"/>
      <c r="R24" s="1384"/>
      <c r="S24" s="1384"/>
      <c r="T24" s="1393"/>
      <c r="U24" s="380" t="s">
        <v>384</v>
      </c>
      <c r="V24" s="381">
        <v>1</v>
      </c>
    </row>
    <row r="25" spans="1:22" s="280" customFormat="1" ht="31.5" customHeight="1" x14ac:dyDescent="0.25">
      <c r="A25" s="1400"/>
      <c r="B25" s="1373"/>
      <c r="C25" s="1376"/>
      <c r="D25" s="1403"/>
      <c r="E25" s="1406"/>
      <c r="F25" s="1406"/>
      <c r="G25" s="1409"/>
      <c r="H25" s="1406"/>
      <c r="I25" s="1406"/>
      <c r="J25" s="1406"/>
      <c r="K25" s="1406"/>
      <c r="L25" s="1387"/>
      <c r="M25" s="1387"/>
      <c r="N25" s="1384"/>
      <c r="O25" s="1384"/>
      <c r="P25" s="1384"/>
      <c r="Q25" s="1384"/>
      <c r="R25" s="1384"/>
      <c r="S25" s="1384"/>
      <c r="T25" s="1393"/>
      <c r="U25" s="380" t="s">
        <v>385</v>
      </c>
      <c r="V25" s="381">
        <v>1</v>
      </c>
    </row>
    <row r="26" spans="1:22" s="280" customFormat="1" ht="27" x14ac:dyDescent="0.25">
      <c r="A26" s="1400"/>
      <c r="B26" s="1373"/>
      <c r="C26" s="1376"/>
      <c r="D26" s="1403"/>
      <c r="E26" s="1406"/>
      <c r="F26" s="1406"/>
      <c r="G26" s="1409"/>
      <c r="H26" s="1406"/>
      <c r="I26" s="1406"/>
      <c r="J26" s="1406"/>
      <c r="K26" s="1406"/>
      <c r="L26" s="1387"/>
      <c r="M26" s="1387"/>
      <c r="N26" s="1384"/>
      <c r="O26" s="1384"/>
      <c r="P26" s="1384"/>
      <c r="Q26" s="1384"/>
      <c r="R26" s="1384"/>
      <c r="S26" s="1384"/>
      <c r="T26" s="1393"/>
      <c r="U26" s="380" t="s">
        <v>386</v>
      </c>
      <c r="V26" s="381">
        <v>4</v>
      </c>
    </row>
    <row r="27" spans="1:22" s="280" customFormat="1" ht="27" x14ac:dyDescent="0.25">
      <c r="A27" s="1400"/>
      <c r="B27" s="1373"/>
      <c r="C27" s="1376"/>
      <c r="D27" s="1403"/>
      <c r="E27" s="1406"/>
      <c r="F27" s="1406"/>
      <c r="G27" s="1409"/>
      <c r="H27" s="1406"/>
      <c r="I27" s="1406"/>
      <c r="J27" s="1406"/>
      <c r="K27" s="1406"/>
      <c r="L27" s="1387"/>
      <c r="M27" s="1387"/>
      <c r="N27" s="1384"/>
      <c r="O27" s="1384"/>
      <c r="P27" s="1384"/>
      <c r="Q27" s="1384"/>
      <c r="R27" s="1384"/>
      <c r="S27" s="1384"/>
      <c r="T27" s="1393"/>
      <c r="U27" s="380" t="s">
        <v>387</v>
      </c>
      <c r="V27" s="381">
        <v>1</v>
      </c>
    </row>
    <row r="28" spans="1:22" s="280" customFormat="1" ht="40.5" customHeight="1" x14ac:dyDescent="0.25">
      <c r="A28" s="1401"/>
      <c r="B28" s="1373"/>
      <c r="C28" s="1376"/>
      <c r="D28" s="1404"/>
      <c r="E28" s="1407"/>
      <c r="F28" s="1407">
        <v>3</v>
      </c>
      <c r="G28" s="1410"/>
      <c r="H28" s="1407"/>
      <c r="I28" s="1407"/>
      <c r="J28" s="1407">
        <v>2</v>
      </c>
      <c r="K28" s="1407">
        <v>1</v>
      </c>
      <c r="L28" s="1388"/>
      <c r="M28" s="1388">
        <v>400</v>
      </c>
      <c r="N28" s="1385"/>
      <c r="O28" s="1385">
        <v>590</v>
      </c>
      <c r="P28" s="1385">
        <v>625</v>
      </c>
      <c r="Q28" s="1385">
        <v>775</v>
      </c>
      <c r="R28" s="1385">
        <v>775</v>
      </c>
      <c r="S28" s="1385">
        <v>960</v>
      </c>
      <c r="T28" s="1394"/>
      <c r="U28" s="1395" t="s">
        <v>388</v>
      </c>
      <c r="V28" s="1396"/>
    </row>
    <row r="29" spans="1:22" s="280" customFormat="1" ht="30" x14ac:dyDescent="0.25">
      <c r="A29" s="361">
        <v>18</v>
      </c>
      <c r="B29" s="1373"/>
      <c r="C29" s="1376"/>
      <c r="D29" s="372" t="s">
        <v>48</v>
      </c>
      <c r="E29" s="372"/>
      <c r="F29" s="167">
        <v>3</v>
      </c>
      <c r="G29" s="365" t="s">
        <v>19</v>
      </c>
      <c r="H29" s="366"/>
      <c r="I29" s="366"/>
      <c r="J29" s="367">
        <v>2</v>
      </c>
      <c r="K29" s="368">
        <v>1</v>
      </c>
      <c r="L29" s="369">
        <v>1764</v>
      </c>
      <c r="M29" s="369">
        <v>2187.36</v>
      </c>
      <c r="N29" s="366">
        <v>1914</v>
      </c>
      <c r="O29" s="366">
        <v>2373.36</v>
      </c>
      <c r="P29" s="366">
        <v>2064</v>
      </c>
      <c r="Q29" s="366">
        <v>2559.36</v>
      </c>
      <c r="R29" s="366">
        <v>2214</v>
      </c>
      <c r="S29" s="366">
        <v>2745.36</v>
      </c>
      <c r="T29" s="370" t="s">
        <v>370</v>
      </c>
      <c r="U29" s="1365"/>
      <c r="V29" s="1366"/>
    </row>
    <row r="30" spans="1:22" s="280" customFormat="1" ht="30" x14ac:dyDescent="0.25">
      <c r="A30" s="361">
        <v>19</v>
      </c>
      <c r="B30" s="1373"/>
      <c r="C30" s="1377"/>
      <c r="D30" s="372" t="s">
        <v>389</v>
      </c>
      <c r="E30" s="372"/>
      <c r="F30" s="167">
        <v>1.5</v>
      </c>
      <c r="G30" s="375" t="s">
        <v>15</v>
      </c>
      <c r="H30" s="366"/>
      <c r="I30" s="366"/>
      <c r="J30" s="367">
        <v>1</v>
      </c>
      <c r="K30" s="368">
        <v>0</v>
      </c>
      <c r="L30" s="369">
        <v>884.2</v>
      </c>
      <c r="M30" s="369">
        <v>1096.4100000000001</v>
      </c>
      <c r="N30" s="366">
        <f>L30+150</f>
        <v>1034.2</v>
      </c>
      <c r="O30" s="366">
        <f>N30*1.24</f>
        <v>1282.4080000000001</v>
      </c>
      <c r="P30" s="366">
        <f>N30+150</f>
        <v>1184.2</v>
      </c>
      <c r="Q30" s="366">
        <f>P30*1.24</f>
        <v>1468.4080000000001</v>
      </c>
      <c r="R30" s="366">
        <f>P30+150</f>
        <v>1334.2</v>
      </c>
      <c r="S30" s="366">
        <f>R30*1.24</f>
        <v>1654.4080000000001</v>
      </c>
      <c r="T30" s="370" t="s">
        <v>370</v>
      </c>
      <c r="U30" s="1365"/>
      <c r="V30" s="1366"/>
    </row>
    <row r="31" spans="1:22" s="280" customFormat="1" ht="33" x14ac:dyDescent="0.25">
      <c r="A31" s="361">
        <v>20</v>
      </c>
      <c r="B31" s="1373"/>
      <c r="C31" s="362" t="s">
        <v>390</v>
      </c>
      <c r="D31" s="363" t="s">
        <v>391</v>
      </c>
      <c r="E31" s="363"/>
      <c r="F31" s="167">
        <v>1</v>
      </c>
      <c r="G31" s="365" t="s">
        <v>19</v>
      </c>
      <c r="H31" s="366"/>
      <c r="I31" s="366"/>
      <c r="J31" s="367">
        <v>1</v>
      </c>
      <c r="K31" s="53"/>
      <c r="L31" s="369">
        <v>694</v>
      </c>
      <c r="M31" s="369">
        <v>860.56</v>
      </c>
      <c r="N31" s="366">
        <v>844</v>
      </c>
      <c r="O31" s="366">
        <v>1046.56</v>
      </c>
      <c r="P31" s="366">
        <v>994</v>
      </c>
      <c r="Q31" s="366">
        <v>1232.56</v>
      </c>
      <c r="R31" s="366">
        <v>1144</v>
      </c>
      <c r="S31" s="366">
        <v>1418.56</v>
      </c>
      <c r="T31" s="370" t="s">
        <v>370</v>
      </c>
      <c r="U31" s="1365"/>
      <c r="V31" s="1366"/>
    </row>
    <row r="32" spans="1:22" s="280" customFormat="1" ht="33.75" thickBot="1" x14ac:dyDescent="0.3">
      <c r="A32" s="377">
        <v>21</v>
      </c>
      <c r="B32" s="1398"/>
      <c r="C32" s="374" t="s">
        <v>392</v>
      </c>
      <c r="D32" s="382" t="s">
        <v>393</v>
      </c>
      <c r="E32" s="382"/>
      <c r="F32" s="383">
        <v>1</v>
      </c>
      <c r="G32" s="384" t="s">
        <v>19</v>
      </c>
      <c r="H32" s="385"/>
      <c r="I32" s="385"/>
      <c r="J32" s="386">
        <v>1</v>
      </c>
      <c r="K32" s="172"/>
      <c r="L32" s="387">
        <v>694</v>
      </c>
      <c r="M32" s="387">
        <v>860.56</v>
      </c>
      <c r="N32" s="385">
        <v>844</v>
      </c>
      <c r="O32" s="385">
        <v>1046.56</v>
      </c>
      <c r="P32" s="385">
        <v>994</v>
      </c>
      <c r="Q32" s="385">
        <v>1232.56</v>
      </c>
      <c r="R32" s="385">
        <v>1144</v>
      </c>
      <c r="S32" s="385">
        <v>1418.56</v>
      </c>
      <c r="T32" s="388" t="s">
        <v>370</v>
      </c>
      <c r="U32" s="1368"/>
      <c r="V32" s="1369"/>
    </row>
    <row r="33" spans="1:22" s="280" customFormat="1" ht="30" x14ac:dyDescent="0.25">
      <c r="A33" s="389">
        <v>22</v>
      </c>
      <c r="B33" s="1372" t="s">
        <v>394</v>
      </c>
      <c r="C33" s="1381" t="s">
        <v>395</v>
      </c>
      <c r="D33" s="390" t="s">
        <v>46</v>
      </c>
      <c r="E33" s="390"/>
      <c r="F33" s="391">
        <v>1</v>
      </c>
      <c r="G33" s="392" t="s">
        <v>19</v>
      </c>
      <c r="H33" s="393"/>
      <c r="I33" s="393"/>
      <c r="J33" s="394">
        <v>2</v>
      </c>
      <c r="K33" s="395"/>
      <c r="L33" s="396">
        <v>1094</v>
      </c>
      <c r="M33" s="396">
        <v>1356.56</v>
      </c>
      <c r="N33" s="393">
        <v>1244</v>
      </c>
      <c r="O33" s="393">
        <v>1542.56</v>
      </c>
      <c r="P33" s="393">
        <v>1394</v>
      </c>
      <c r="Q33" s="393">
        <v>1728.56</v>
      </c>
      <c r="R33" s="393">
        <v>1544</v>
      </c>
      <c r="S33" s="393">
        <v>1914.56</v>
      </c>
      <c r="T33" s="397" t="s">
        <v>370</v>
      </c>
      <c r="U33" s="1378"/>
      <c r="V33" s="1379"/>
    </row>
    <row r="34" spans="1:22" s="280" customFormat="1" ht="30" x14ac:dyDescent="0.25">
      <c r="A34" s="361">
        <v>23</v>
      </c>
      <c r="B34" s="1373"/>
      <c r="C34" s="1380"/>
      <c r="D34" s="372" t="s">
        <v>396</v>
      </c>
      <c r="E34" s="372"/>
      <c r="F34" s="167">
        <v>1</v>
      </c>
      <c r="G34" s="365" t="s">
        <v>19</v>
      </c>
      <c r="H34" s="366">
        <v>380</v>
      </c>
      <c r="I34" s="366">
        <v>471.2</v>
      </c>
      <c r="J34" s="367" t="s">
        <v>16</v>
      </c>
      <c r="K34" s="53"/>
      <c r="L34" s="369"/>
      <c r="M34" s="369"/>
      <c r="N34" s="366"/>
      <c r="O34" s="366"/>
      <c r="P34" s="366"/>
      <c r="Q34" s="366"/>
      <c r="R34" s="366"/>
      <c r="S34" s="366"/>
      <c r="T34" s="370" t="s">
        <v>370</v>
      </c>
      <c r="U34" s="1365"/>
      <c r="V34" s="1366"/>
    </row>
    <row r="35" spans="1:22" s="280" customFormat="1" ht="18" customHeight="1" x14ac:dyDescent="0.25">
      <c r="A35" s="361">
        <v>24</v>
      </c>
      <c r="B35" s="1373"/>
      <c r="C35" s="1380"/>
      <c r="D35" s="363" t="s">
        <v>397</v>
      </c>
      <c r="E35" s="363"/>
      <c r="F35" s="167">
        <v>1</v>
      </c>
      <c r="G35" s="365" t="s">
        <v>19</v>
      </c>
      <c r="H35" s="398"/>
      <c r="I35" s="366"/>
      <c r="J35" s="367">
        <v>1</v>
      </c>
      <c r="K35" s="53"/>
      <c r="L35" s="369">
        <v>694</v>
      </c>
      <c r="M35" s="369">
        <v>860.56</v>
      </c>
      <c r="N35" s="366">
        <v>844</v>
      </c>
      <c r="O35" s="366">
        <v>1046.56</v>
      </c>
      <c r="P35" s="366">
        <v>994</v>
      </c>
      <c r="Q35" s="366">
        <v>1232.56</v>
      </c>
      <c r="R35" s="366">
        <v>1144</v>
      </c>
      <c r="S35" s="366">
        <v>1418.56</v>
      </c>
      <c r="T35" s="370" t="s">
        <v>370</v>
      </c>
      <c r="U35" s="1365"/>
      <c r="V35" s="1366"/>
    </row>
    <row r="36" spans="1:22" s="280" customFormat="1" ht="45" x14ac:dyDescent="0.25">
      <c r="A36" s="361">
        <v>25</v>
      </c>
      <c r="B36" s="1373"/>
      <c r="C36" s="1380"/>
      <c r="D36" s="363" t="s">
        <v>398</v>
      </c>
      <c r="E36" s="363"/>
      <c r="F36" s="167">
        <v>2</v>
      </c>
      <c r="G36" s="399" t="s">
        <v>399</v>
      </c>
      <c r="H36" s="366">
        <v>550</v>
      </c>
      <c r="I36" s="366">
        <v>682</v>
      </c>
      <c r="J36" s="367" t="s">
        <v>16</v>
      </c>
      <c r="K36" s="53"/>
      <c r="L36" s="400"/>
      <c r="M36" s="369"/>
      <c r="N36" s="366"/>
      <c r="O36" s="366"/>
      <c r="P36" s="366"/>
      <c r="Q36" s="366"/>
      <c r="R36" s="366"/>
      <c r="S36" s="366"/>
      <c r="T36" s="370" t="s">
        <v>370</v>
      </c>
      <c r="U36" s="1365"/>
      <c r="V36" s="1366"/>
    </row>
    <row r="37" spans="1:22" s="280" customFormat="1" ht="49.5" x14ac:dyDescent="0.25">
      <c r="A37" s="361">
        <v>26</v>
      </c>
      <c r="B37" s="1373"/>
      <c r="C37" s="362" t="s">
        <v>400</v>
      </c>
      <c r="D37" s="363" t="s">
        <v>59</v>
      </c>
      <c r="E37" s="363" t="s">
        <v>371</v>
      </c>
      <c r="F37" s="167">
        <v>1</v>
      </c>
      <c r="G37" s="365" t="s">
        <v>19</v>
      </c>
      <c r="H37" s="366">
        <v>444</v>
      </c>
      <c r="I37" s="366">
        <v>550.55999999999995</v>
      </c>
      <c r="J37" s="367" t="s">
        <v>16</v>
      </c>
      <c r="K37" s="53"/>
      <c r="L37" s="400"/>
      <c r="M37" s="369"/>
      <c r="N37" s="366"/>
      <c r="O37" s="366"/>
      <c r="P37" s="366"/>
      <c r="Q37" s="366"/>
      <c r="R37" s="366"/>
      <c r="S37" s="366"/>
      <c r="T37" s="370" t="s">
        <v>370</v>
      </c>
      <c r="U37" s="1365"/>
      <c r="V37" s="1366"/>
    </row>
    <row r="38" spans="1:22" s="280" customFormat="1" ht="82.5" x14ac:dyDescent="0.25">
      <c r="A38" s="361">
        <v>27</v>
      </c>
      <c r="B38" s="1373"/>
      <c r="C38" s="362" t="s">
        <v>401</v>
      </c>
      <c r="D38" s="372" t="s">
        <v>402</v>
      </c>
      <c r="E38" s="372" t="s">
        <v>403</v>
      </c>
      <c r="F38" s="167">
        <v>1.5</v>
      </c>
      <c r="G38" s="365" t="s">
        <v>19</v>
      </c>
      <c r="H38" s="366"/>
      <c r="I38" s="366"/>
      <c r="J38" s="367">
        <v>2</v>
      </c>
      <c r="K38" s="53"/>
      <c r="L38" s="369">
        <v>1179</v>
      </c>
      <c r="M38" s="369">
        <v>1461.96</v>
      </c>
      <c r="N38" s="366">
        <v>1329</v>
      </c>
      <c r="O38" s="366">
        <v>1647.96</v>
      </c>
      <c r="P38" s="366">
        <v>1479</v>
      </c>
      <c r="Q38" s="366">
        <v>1833.96</v>
      </c>
      <c r="R38" s="366">
        <v>1629</v>
      </c>
      <c r="S38" s="366">
        <v>2019.96</v>
      </c>
      <c r="T38" s="370" t="s">
        <v>370</v>
      </c>
      <c r="U38" s="1365"/>
      <c r="V38" s="1366"/>
    </row>
    <row r="39" spans="1:22" s="280" customFormat="1" ht="148.5" x14ac:dyDescent="0.25">
      <c r="A39" s="361">
        <v>28</v>
      </c>
      <c r="B39" s="1373"/>
      <c r="C39" s="362" t="s">
        <v>404</v>
      </c>
      <c r="D39" s="363" t="s">
        <v>405</v>
      </c>
      <c r="E39" s="363" t="s">
        <v>403</v>
      </c>
      <c r="F39" s="167">
        <v>1.5</v>
      </c>
      <c r="G39" s="365" t="s">
        <v>19</v>
      </c>
      <c r="H39" s="366"/>
      <c r="I39" s="366"/>
      <c r="J39" s="367">
        <v>2</v>
      </c>
      <c r="K39" s="53"/>
      <c r="L39" s="369">
        <v>1179</v>
      </c>
      <c r="M39" s="369">
        <v>1461.96</v>
      </c>
      <c r="N39" s="366">
        <v>1329</v>
      </c>
      <c r="O39" s="366">
        <v>1647.96</v>
      </c>
      <c r="P39" s="366">
        <v>1479</v>
      </c>
      <c r="Q39" s="366">
        <v>1833.96</v>
      </c>
      <c r="R39" s="366">
        <v>1629</v>
      </c>
      <c r="S39" s="366">
        <v>2019.96</v>
      </c>
      <c r="T39" s="370" t="s">
        <v>370</v>
      </c>
      <c r="U39" s="1365"/>
      <c r="V39" s="1366"/>
    </row>
    <row r="40" spans="1:22" s="280" customFormat="1" ht="36" customHeight="1" x14ac:dyDescent="0.25">
      <c r="A40" s="361">
        <v>29</v>
      </c>
      <c r="B40" s="1373"/>
      <c r="C40" s="1380" t="s">
        <v>406</v>
      </c>
      <c r="D40" s="1380"/>
      <c r="E40" s="362"/>
      <c r="F40" s="167">
        <v>0.5</v>
      </c>
      <c r="G40" s="365" t="s">
        <v>19</v>
      </c>
      <c r="H40" s="366">
        <v>245</v>
      </c>
      <c r="I40" s="366">
        <v>303.8</v>
      </c>
      <c r="J40" s="367" t="s">
        <v>16</v>
      </c>
      <c r="K40" s="53"/>
      <c r="L40" s="369"/>
      <c r="M40" s="369"/>
      <c r="N40" s="366"/>
      <c r="O40" s="366"/>
      <c r="P40" s="366"/>
      <c r="Q40" s="366"/>
      <c r="R40" s="366"/>
      <c r="S40" s="366"/>
      <c r="T40" s="370" t="s">
        <v>370</v>
      </c>
      <c r="U40" s="1365"/>
      <c r="V40" s="1366"/>
    </row>
    <row r="41" spans="1:22" s="280" customFormat="1" ht="50.1" customHeight="1" x14ac:dyDescent="0.25">
      <c r="A41" s="361">
        <v>30</v>
      </c>
      <c r="B41" s="1373"/>
      <c r="C41" s="1380" t="s">
        <v>407</v>
      </c>
      <c r="D41" s="363" t="s">
        <v>27</v>
      </c>
      <c r="E41" s="363"/>
      <c r="F41" s="167">
        <v>1</v>
      </c>
      <c r="G41" s="365" t="s">
        <v>19</v>
      </c>
      <c r="H41" s="366">
        <v>330</v>
      </c>
      <c r="I41" s="366">
        <v>409.2</v>
      </c>
      <c r="J41" s="367" t="s">
        <v>16</v>
      </c>
      <c r="K41" s="53"/>
      <c r="L41" s="369"/>
      <c r="M41" s="369"/>
      <c r="N41" s="366"/>
      <c r="O41" s="366"/>
      <c r="P41" s="366"/>
      <c r="Q41" s="366"/>
      <c r="R41" s="366"/>
      <c r="S41" s="366"/>
      <c r="T41" s="370" t="s">
        <v>370</v>
      </c>
      <c r="U41" s="1365"/>
      <c r="V41" s="1366"/>
    </row>
    <row r="42" spans="1:22" s="280" customFormat="1" ht="50.1" customHeight="1" x14ac:dyDescent="0.25">
      <c r="A42" s="361">
        <v>31</v>
      </c>
      <c r="B42" s="1373"/>
      <c r="C42" s="1380"/>
      <c r="D42" s="363" t="s">
        <v>29</v>
      </c>
      <c r="E42" s="363"/>
      <c r="F42" s="167">
        <v>1</v>
      </c>
      <c r="G42" s="365" t="s">
        <v>19</v>
      </c>
      <c r="H42" s="366">
        <v>330</v>
      </c>
      <c r="I42" s="366">
        <v>409.2</v>
      </c>
      <c r="J42" s="367" t="s">
        <v>16</v>
      </c>
      <c r="K42" s="53"/>
      <c r="L42" s="369"/>
      <c r="M42" s="369"/>
      <c r="N42" s="366"/>
      <c r="O42" s="366"/>
      <c r="P42" s="366"/>
      <c r="Q42" s="366"/>
      <c r="R42" s="366"/>
      <c r="S42" s="366"/>
      <c r="T42" s="370" t="s">
        <v>370</v>
      </c>
      <c r="U42" s="1365"/>
      <c r="V42" s="1366"/>
    </row>
    <row r="43" spans="1:22" s="280" customFormat="1" ht="16.5" x14ac:dyDescent="0.25">
      <c r="A43" s="361">
        <v>32</v>
      </c>
      <c r="B43" s="1373"/>
      <c r="C43" s="1380" t="s">
        <v>408</v>
      </c>
      <c r="D43" s="1380"/>
      <c r="E43" s="362"/>
      <c r="F43" s="167">
        <v>1</v>
      </c>
      <c r="G43" s="365" t="s">
        <v>19</v>
      </c>
      <c r="H43" s="366">
        <v>330</v>
      </c>
      <c r="I43" s="366">
        <v>409.2</v>
      </c>
      <c r="J43" s="367" t="s">
        <v>16</v>
      </c>
      <c r="K43" s="53"/>
      <c r="L43" s="369"/>
      <c r="M43" s="369"/>
      <c r="N43" s="366"/>
      <c r="O43" s="366"/>
      <c r="P43" s="366"/>
      <c r="Q43" s="366"/>
      <c r="R43" s="366"/>
      <c r="S43" s="366"/>
      <c r="T43" s="370" t="s">
        <v>370</v>
      </c>
      <c r="U43" s="1365"/>
      <c r="V43" s="1366"/>
    </row>
    <row r="44" spans="1:22" s="280" customFormat="1" ht="16.5" x14ac:dyDescent="0.25">
      <c r="A44" s="361">
        <v>33</v>
      </c>
      <c r="B44" s="1373"/>
      <c r="C44" s="1380" t="s">
        <v>409</v>
      </c>
      <c r="D44" s="1380"/>
      <c r="E44" s="362"/>
      <c r="F44" s="167">
        <v>1</v>
      </c>
      <c r="G44" s="365" t="s">
        <v>19</v>
      </c>
      <c r="H44" s="366"/>
      <c r="I44" s="366"/>
      <c r="J44" s="367">
        <v>1</v>
      </c>
      <c r="K44" s="53"/>
      <c r="L44" s="369">
        <v>694</v>
      </c>
      <c r="M44" s="369">
        <v>860.56</v>
      </c>
      <c r="N44" s="366">
        <v>844</v>
      </c>
      <c r="O44" s="366">
        <v>1046.56</v>
      </c>
      <c r="P44" s="366">
        <v>994</v>
      </c>
      <c r="Q44" s="366">
        <v>1232.56</v>
      </c>
      <c r="R44" s="366">
        <v>1144</v>
      </c>
      <c r="S44" s="366">
        <v>1418.56</v>
      </c>
      <c r="T44" s="370" t="s">
        <v>370</v>
      </c>
      <c r="U44" s="1365"/>
      <c r="V44" s="1366"/>
    </row>
    <row r="45" spans="1:22" s="280" customFormat="1" ht="28.5" x14ac:dyDescent="0.25">
      <c r="A45" s="361">
        <v>34</v>
      </c>
      <c r="B45" s="1373"/>
      <c r="C45" s="1380" t="s">
        <v>410</v>
      </c>
      <c r="D45" s="363" t="s">
        <v>411</v>
      </c>
      <c r="E45" s="363"/>
      <c r="F45" s="167">
        <v>1.5</v>
      </c>
      <c r="G45" s="401" t="s">
        <v>412</v>
      </c>
      <c r="H45" s="366"/>
      <c r="I45" s="366"/>
      <c r="J45" s="367"/>
      <c r="K45" s="53"/>
      <c r="L45" s="369">
        <v>379</v>
      </c>
      <c r="M45" s="369">
        <v>469.96</v>
      </c>
      <c r="N45" s="366">
        <v>529</v>
      </c>
      <c r="O45" s="366">
        <v>655.96</v>
      </c>
      <c r="P45" s="366">
        <v>679</v>
      </c>
      <c r="Q45" s="366">
        <v>841.96</v>
      </c>
      <c r="R45" s="366">
        <v>829</v>
      </c>
      <c r="S45" s="366">
        <v>1027.96</v>
      </c>
      <c r="T45" s="370" t="s">
        <v>370</v>
      </c>
      <c r="U45" s="1365"/>
      <c r="V45" s="1366"/>
    </row>
    <row r="46" spans="1:22" s="280" customFormat="1" ht="50.25" customHeight="1" thickBot="1" x14ac:dyDescent="0.3">
      <c r="A46" s="402">
        <v>35</v>
      </c>
      <c r="B46" s="1374"/>
      <c r="C46" s="1382"/>
      <c r="D46" s="403" t="s">
        <v>413</v>
      </c>
      <c r="E46" s="403"/>
      <c r="F46" s="404">
        <v>1.5</v>
      </c>
      <c r="G46" s="405" t="s">
        <v>412</v>
      </c>
      <c r="H46" s="406"/>
      <c r="I46" s="406"/>
      <c r="J46" s="407"/>
      <c r="K46" s="56"/>
      <c r="L46" s="408">
        <v>379</v>
      </c>
      <c r="M46" s="408">
        <v>469.96</v>
      </c>
      <c r="N46" s="406">
        <v>529</v>
      </c>
      <c r="O46" s="406">
        <v>655.96</v>
      </c>
      <c r="P46" s="406">
        <v>679</v>
      </c>
      <c r="Q46" s="406">
        <v>841.96</v>
      </c>
      <c r="R46" s="406">
        <v>829</v>
      </c>
      <c r="S46" s="406">
        <v>1027.96</v>
      </c>
      <c r="T46" s="409" t="s">
        <v>370</v>
      </c>
      <c r="U46" s="1368"/>
      <c r="V46" s="1369"/>
    </row>
    <row r="47" spans="1:22" s="280" customFormat="1" ht="16.5" x14ac:dyDescent="0.25">
      <c r="A47" s="389">
        <v>36</v>
      </c>
      <c r="B47" s="1372" t="s">
        <v>414</v>
      </c>
      <c r="C47" s="1381" t="s">
        <v>415</v>
      </c>
      <c r="D47" s="410" t="s">
        <v>416</v>
      </c>
      <c r="E47" s="410"/>
      <c r="F47" s="391">
        <v>1</v>
      </c>
      <c r="G47" s="392" t="s">
        <v>19</v>
      </c>
      <c r="H47" s="393">
        <v>380</v>
      </c>
      <c r="I47" s="393">
        <v>471.2</v>
      </c>
      <c r="J47" s="394" t="s">
        <v>16</v>
      </c>
      <c r="K47" s="395"/>
      <c r="L47" s="396"/>
      <c r="M47" s="396"/>
      <c r="N47" s="393"/>
      <c r="O47" s="393"/>
      <c r="P47" s="393"/>
      <c r="Q47" s="393"/>
      <c r="R47" s="393"/>
      <c r="S47" s="393"/>
      <c r="T47" s="411" t="s">
        <v>417</v>
      </c>
      <c r="U47" s="1378"/>
      <c r="V47" s="1379"/>
    </row>
    <row r="48" spans="1:22" s="280" customFormat="1" ht="16.5" x14ac:dyDescent="0.25">
      <c r="A48" s="361">
        <v>37</v>
      </c>
      <c r="B48" s="1373"/>
      <c r="C48" s="1380"/>
      <c r="D48" s="363" t="s">
        <v>418</v>
      </c>
      <c r="E48" s="363"/>
      <c r="F48" s="167">
        <v>1</v>
      </c>
      <c r="G48" s="365" t="s">
        <v>19</v>
      </c>
      <c r="H48" s="366">
        <v>380</v>
      </c>
      <c r="I48" s="366">
        <v>471.2</v>
      </c>
      <c r="J48" s="367" t="s">
        <v>16</v>
      </c>
      <c r="K48" s="53"/>
      <c r="L48" s="369"/>
      <c r="M48" s="369"/>
      <c r="N48" s="366"/>
      <c r="O48" s="366"/>
      <c r="P48" s="366"/>
      <c r="Q48" s="366"/>
      <c r="R48" s="366"/>
      <c r="S48" s="366"/>
      <c r="T48" s="412" t="s">
        <v>417</v>
      </c>
      <c r="U48" s="1365"/>
      <c r="V48" s="1366"/>
    </row>
    <row r="49" spans="1:22" s="280" customFormat="1" ht="16.5" x14ac:dyDescent="0.25">
      <c r="A49" s="361">
        <v>38</v>
      </c>
      <c r="B49" s="1373"/>
      <c r="C49" s="1380"/>
      <c r="D49" s="363" t="s">
        <v>419</v>
      </c>
      <c r="E49" s="363"/>
      <c r="F49" s="167">
        <v>1</v>
      </c>
      <c r="G49" s="365" t="s">
        <v>19</v>
      </c>
      <c r="H49" s="366">
        <v>380</v>
      </c>
      <c r="I49" s="366">
        <v>471.2</v>
      </c>
      <c r="J49" s="367" t="s">
        <v>16</v>
      </c>
      <c r="K49" s="53"/>
      <c r="L49" s="369"/>
      <c r="M49" s="369"/>
      <c r="N49" s="366"/>
      <c r="O49" s="366"/>
      <c r="P49" s="366"/>
      <c r="Q49" s="366"/>
      <c r="R49" s="366"/>
      <c r="S49" s="366"/>
      <c r="T49" s="412" t="s">
        <v>417</v>
      </c>
      <c r="U49" s="1365"/>
      <c r="V49" s="1366"/>
    </row>
    <row r="50" spans="1:22" s="280" customFormat="1" ht="16.5" x14ac:dyDescent="0.25">
      <c r="A50" s="361">
        <v>39</v>
      </c>
      <c r="B50" s="1373"/>
      <c r="C50" s="1380"/>
      <c r="D50" s="363" t="s">
        <v>420</v>
      </c>
      <c r="E50" s="363"/>
      <c r="F50" s="167">
        <v>1</v>
      </c>
      <c r="G50" s="365" t="s">
        <v>19</v>
      </c>
      <c r="H50" s="366"/>
      <c r="I50" s="366"/>
      <c r="J50" s="367">
        <v>1</v>
      </c>
      <c r="K50" s="53"/>
      <c r="L50" s="369">
        <v>600</v>
      </c>
      <c r="M50" s="369">
        <v>744</v>
      </c>
      <c r="N50" s="366">
        <v>750</v>
      </c>
      <c r="O50" s="366">
        <v>930</v>
      </c>
      <c r="P50" s="366">
        <v>900</v>
      </c>
      <c r="Q50" s="366">
        <v>1116</v>
      </c>
      <c r="R50" s="366">
        <v>1050</v>
      </c>
      <c r="S50" s="366">
        <v>1302</v>
      </c>
      <c r="T50" s="412" t="s">
        <v>417</v>
      </c>
      <c r="U50" s="1365"/>
      <c r="V50" s="1366"/>
    </row>
    <row r="51" spans="1:22" s="280" customFormat="1" ht="16.5" x14ac:dyDescent="0.25">
      <c r="A51" s="361">
        <v>40</v>
      </c>
      <c r="B51" s="1373"/>
      <c r="C51" s="1380"/>
      <c r="D51" s="363" t="s">
        <v>421</v>
      </c>
      <c r="E51" s="363"/>
      <c r="F51" s="167">
        <v>1</v>
      </c>
      <c r="G51" s="365" t="s">
        <v>19</v>
      </c>
      <c r="H51" s="366">
        <v>380</v>
      </c>
      <c r="I51" s="366">
        <v>471.2</v>
      </c>
      <c r="J51" s="367" t="s">
        <v>16</v>
      </c>
      <c r="K51" s="53"/>
      <c r="L51" s="369"/>
      <c r="M51" s="369"/>
      <c r="N51" s="366"/>
      <c r="O51" s="366"/>
      <c r="P51" s="366"/>
      <c r="Q51" s="366"/>
      <c r="R51" s="366"/>
      <c r="S51" s="366"/>
      <c r="T51" s="412" t="s">
        <v>417</v>
      </c>
      <c r="U51" s="1365"/>
      <c r="V51" s="1366"/>
    </row>
    <row r="52" spans="1:22" s="280" customFormat="1" ht="16.5" x14ac:dyDescent="0.25">
      <c r="A52" s="361">
        <v>41</v>
      </c>
      <c r="B52" s="1373"/>
      <c r="C52" s="1380" t="s">
        <v>422</v>
      </c>
      <c r="D52" s="363" t="s">
        <v>423</v>
      </c>
      <c r="E52" s="363"/>
      <c r="F52" s="167">
        <v>1</v>
      </c>
      <c r="G52" s="365" t="s">
        <v>19</v>
      </c>
      <c r="H52" s="366">
        <v>480</v>
      </c>
      <c r="I52" s="366">
        <v>595.20000000000005</v>
      </c>
      <c r="J52" s="367" t="s">
        <v>16</v>
      </c>
      <c r="K52" s="53"/>
      <c r="L52" s="369"/>
      <c r="M52" s="369"/>
      <c r="N52" s="366"/>
      <c r="O52" s="366"/>
      <c r="P52" s="366"/>
      <c r="Q52" s="366"/>
      <c r="R52" s="366"/>
      <c r="S52" s="366"/>
      <c r="T52" s="412" t="s">
        <v>417</v>
      </c>
      <c r="U52" s="1365"/>
      <c r="V52" s="1366"/>
    </row>
    <row r="53" spans="1:22" s="280" customFormat="1" ht="16.5" x14ac:dyDescent="0.25">
      <c r="A53" s="361">
        <v>42</v>
      </c>
      <c r="B53" s="1373"/>
      <c r="C53" s="1380"/>
      <c r="D53" s="363" t="s">
        <v>424</v>
      </c>
      <c r="E53" s="363"/>
      <c r="F53" s="167">
        <v>1</v>
      </c>
      <c r="G53" s="365" t="s">
        <v>19</v>
      </c>
      <c r="H53" s="366"/>
      <c r="I53" s="366"/>
      <c r="J53" s="367">
        <v>1</v>
      </c>
      <c r="K53" s="53"/>
      <c r="L53" s="369">
        <v>894</v>
      </c>
      <c r="M53" s="369">
        <v>1108.56</v>
      </c>
      <c r="N53" s="366">
        <v>1044</v>
      </c>
      <c r="O53" s="366">
        <v>1294.56</v>
      </c>
      <c r="P53" s="366">
        <v>1194</v>
      </c>
      <c r="Q53" s="366">
        <v>1480.56</v>
      </c>
      <c r="R53" s="366">
        <v>1344</v>
      </c>
      <c r="S53" s="366">
        <v>1666.56</v>
      </c>
      <c r="T53" s="412" t="s">
        <v>417</v>
      </c>
      <c r="U53" s="1365"/>
      <c r="V53" s="1366"/>
    </row>
    <row r="54" spans="1:22" s="280" customFormat="1" ht="16.5" x14ac:dyDescent="0.25">
      <c r="A54" s="361">
        <v>43</v>
      </c>
      <c r="B54" s="1373"/>
      <c r="C54" s="1380"/>
      <c r="D54" s="363" t="s">
        <v>425</v>
      </c>
      <c r="E54" s="363"/>
      <c r="F54" s="167">
        <v>1</v>
      </c>
      <c r="G54" s="375" t="s">
        <v>426</v>
      </c>
      <c r="H54" s="366"/>
      <c r="I54" s="366"/>
      <c r="J54" s="413">
        <v>1</v>
      </c>
      <c r="K54" s="53"/>
      <c r="L54" s="369">
        <v>610</v>
      </c>
      <c r="M54" s="369">
        <v>756.4</v>
      </c>
      <c r="N54" s="366">
        <v>760</v>
      </c>
      <c r="O54" s="366">
        <v>942.4</v>
      </c>
      <c r="P54" s="366">
        <v>910</v>
      </c>
      <c r="Q54" s="366">
        <v>1128.4000000000001</v>
      </c>
      <c r="R54" s="366">
        <v>1060</v>
      </c>
      <c r="S54" s="366">
        <v>1314.4</v>
      </c>
      <c r="T54" s="370" t="s">
        <v>427</v>
      </c>
      <c r="U54" s="1365"/>
      <c r="V54" s="1366"/>
    </row>
    <row r="55" spans="1:22" s="280" customFormat="1" ht="16.5" x14ac:dyDescent="0.25">
      <c r="A55" s="361">
        <v>44</v>
      </c>
      <c r="B55" s="1373"/>
      <c r="C55" s="1380"/>
      <c r="D55" s="363" t="s">
        <v>428</v>
      </c>
      <c r="E55" s="363"/>
      <c r="F55" s="167">
        <v>1</v>
      </c>
      <c r="G55" s="375" t="s">
        <v>426</v>
      </c>
      <c r="H55" s="366"/>
      <c r="I55" s="366"/>
      <c r="J55" s="413">
        <v>1</v>
      </c>
      <c r="K55" s="53"/>
      <c r="L55" s="369">
        <v>560</v>
      </c>
      <c r="M55" s="369">
        <v>694.4</v>
      </c>
      <c r="N55" s="366">
        <v>710</v>
      </c>
      <c r="O55" s="366">
        <v>880.4</v>
      </c>
      <c r="P55" s="366">
        <v>860</v>
      </c>
      <c r="Q55" s="366">
        <v>1066.4000000000001</v>
      </c>
      <c r="R55" s="366">
        <v>1010</v>
      </c>
      <c r="S55" s="366">
        <v>1252.4000000000001</v>
      </c>
      <c r="T55" s="370" t="s">
        <v>429</v>
      </c>
      <c r="U55" s="1365"/>
      <c r="V55" s="1366"/>
    </row>
    <row r="56" spans="1:22" s="280" customFormat="1" ht="16.5" x14ac:dyDescent="0.25">
      <c r="A56" s="361">
        <v>45</v>
      </c>
      <c r="B56" s="1373"/>
      <c r="C56" s="1380"/>
      <c r="D56" s="363" t="s">
        <v>430</v>
      </c>
      <c r="E56" s="363"/>
      <c r="F56" s="167">
        <v>1.5</v>
      </c>
      <c r="G56" s="375" t="s">
        <v>431</v>
      </c>
      <c r="H56" s="366"/>
      <c r="I56" s="366"/>
      <c r="J56" s="413">
        <v>1</v>
      </c>
      <c r="K56" s="53"/>
      <c r="L56" s="369">
        <v>815</v>
      </c>
      <c r="M56" s="369">
        <v>1010.6</v>
      </c>
      <c r="N56" s="366">
        <v>965</v>
      </c>
      <c r="O56" s="366">
        <v>1196.5999999999999</v>
      </c>
      <c r="P56" s="366">
        <v>1115</v>
      </c>
      <c r="Q56" s="366">
        <v>1382.6</v>
      </c>
      <c r="R56" s="366">
        <v>1265</v>
      </c>
      <c r="S56" s="366">
        <v>1568.6</v>
      </c>
      <c r="T56" s="370" t="s">
        <v>432</v>
      </c>
      <c r="U56" s="1365"/>
      <c r="V56" s="1366"/>
    </row>
    <row r="57" spans="1:22" s="280" customFormat="1" ht="16.5" x14ac:dyDescent="0.25">
      <c r="A57" s="361">
        <v>46</v>
      </c>
      <c r="B57" s="1373"/>
      <c r="C57" s="1380"/>
      <c r="D57" s="363" t="s">
        <v>433</v>
      </c>
      <c r="E57" s="363"/>
      <c r="F57" s="167">
        <v>1.5</v>
      </c>
      <c r="G57" s="375" t="s">
        <v>431</v>
      </c>
      <c r="H57" s="366"/>
      <c r="I57" s="366"/>
      <c r="J57" s="413">
        <v>1</v>
      </c>
      <c r="K57" s="53"/>
      <c r="L57" s="369">
        <v>1115</v>
      </c>
      <c r="M57" s="369">
        <v>1382.6</v>
      </c>
      <c r="N57" s="366">
        <v>1265</v>
      </c>
      <c r="O57" s="366">
        <v>1568.6</v>
      </c>
      <c r="P57" s="366">
        <v>1415</v>
      </c>
      <c r="Q57" s="366">
        <v>1754.6</v>
      </c>
      <c r="R57" s="366">
        <v>1565</v>
      </c>
      <c r="S57" s="366">
        <v>1940.6</v>
      </c>
      <c r="T57" s="370" t="s">
        <v>434</v>
      </c>
      <c r="U57" s="1365"/>
      <c r="V57" s="1366"/>
    </row>
    <row r="58" spans="1:22" s="280" customFormat="1" ht="16.5" x14ac:dyDescent="0.25">
      <c r="A58" s="361">
        <v>47</v>
      </c>
      <c r="B58" s="1373"/>
      <c r="C58" s="1380"/>
      <c r="D58" s="363" t="s">
        <v>435</v>
      </c>
      <c r="E58" s="363"/>
      <c r="F58" s="167">
        <v>1</v>
      </c>
      <c r="G58" s="53"/>
      <c r="H58" s="366"/>
      <c r="I58" s="366"/>
      <c r="J58" s="413">
        <v>1</v>
      </c>
      <c r="K58" s="53"/>
      <c r="L58" s="369">
        <v>630</v>
      </c>
      <c r="M58" s="369">
        <v>781.2</v>
      </c>
      <c r="N58" s="366">
        <v>780</v>
      </c>
      <c r="O58" s="366">
        <v>967.2</v>
      </c>
      <c r="P58" s="366">
        <v>930</v>
      </c>
      <c r="Q58" s="366">
        <v>1153.2</v>
      </c>
      <c r="R58" s="366">
        <v>1080</v>
      </c>
      <c r="S58" s="366">
        <v>1339.2</v>
      </c>
      <c r="T58" s="370" t="s">
        <v>436</v>
      </c>
      <c r="U58" s="1365"/>
      <c r="V58" s="1366"/>
    </row>
    <row r="59" spans="1:22" s="280" customFormat="1" ht="16.5" x14ac:dyDescent="0.25">
      <c r="A59" s="361">
        <v>48</v>
      </c>
      <c r="B59" s="1373"/>
      <c r="C59" s="1380"/>
      <c r="D59" s="363" t="s">
        <v>437</v>
      </c>
      <c r="E59" s="363"/>
      <c r="F59" s="167">
        <v>1</v>
      </c>
      <c r="G59" s="375" t="s">
        <v>438</v>
      </c>
      <c r="H59" s="366"/>
      <c r="I59" s="366"/>
      <c r="J59" s="413">
        <v>1</v>
      </c>
      <c r="K59" s="53"/>
      <c r="L59" s="369">
        <v>680</v>
      </c>
      <c r="M59" s="369">
        <v>843.2</v>
      </c>
      <c r="N59" s="366">
        <v>830</v>
      </c>
      <c r="O59" s="366">
        <v>1029.2</v>
      </c>
      <c r="P59" s="366">
        <v>980</v>
      </c>
      <c r="Q59" s="366">
        <v>1215.2</v>
      </c>
      <c r="R59" s="366">
        <v>1130</v>
      </c>
      <c r="S59" s="366">
        <v>1401.2</v>
      </c>
      <c r="T59" s="370" t="s">
        <v>439</v>
      </c>
      <c r="U59" s="1365"/>
      <c r="V59" s="1366"/>
    </row>
    <row r="60" spans="1:22" s="280" customFormat="1" ht="16.5" x14ac:dyDescent="0.25">
      <c r="A60" s="361">
        <v>49</v>
      </c>
      <c r="B60" s="1373"/>
      <c r="C60" s="1380"/>
      <c r="D60" s="363" t="s">
        <v>440</v>
      </c>
      <c r="E60" s="363"/>
      <c r="F60" s="167">
        <v>1</v>
      </c>
      <c r="G60" s="375" t="s">
        <v>438</v>
      </c>
      <c r="H60" s="366"/>
      <c r="I60" s="366"/>
      <c r="J60" s="413">
        <v>1</v>
      </c>
      <c r="K60" s="53"/>
      <c r="L60" s="369">
        <v>930</v>
      </c>
      <c r="M60" s="369">
        <v>1153.2</v>
      </c>
      <c r="N60" s="366">
        <v>1080</v>
      </c>
      <c r="O60" s="366">
        <v>1339.2</v>
      </c>
      <c r="P60" s="366">
        <v>1230</v>
      </c>
      <c r="Q60" s="366">
        <v>1525.2</v>
      </c>
      <c r="R60" s="366">
        <v>1380</v>
      </c>
      <c r="S60" s="366">
        <v>1711.2</v>
      </c>
      <c r="T60" s="370" t="s">
        <v>441</v>
      </c>
      <c r="U60" s="1365"/>
      <c r="V60" s="1366"/>
    </row>
    <row r="61" spans="1:22" s="280" customFormat="1" ht="17.25" thickBot="1" x14ac:dyDescent="0.3">
      <c r="A61" s="402">
        <v>50</v>
      </c>
      <c r="B61" s="1374"/>
      <c r="C61" s="1382"/>
      <c r="D61" s="403" t="s">
        <v>442</v>
      </c>
      <c r="E61" s="403"/>
      <c r="F61" s="404">
        <v>1</v>
      </c>
      <c r="G61" s="414" t="s">
        <v>438</v>
      </c>
      <c r="H61" s="406"/>
      <c r="I61" s="406"/>
      <c r="J61" s="415">
        <v>1</v>
      </c>
      <c r="K61" s="56"/>
      <c r="L61" s="408">
        <v>430</v>
      </c>
      <c r="M61" s="408">
        <v>533.20000000000005</v>
      </c>
      <c r="N61" s="406">
        <v>580</v>
      </c>
      <c r="O61" s="406">
        <v>719.2</v>
      </c>
      <c r="P61" s="406">
        <v>730</v>
      </c>
      <c r="Q61" s="406">
        <v>905.2</v>
      </c>
      <c r="R61" s="406">
        <v>880</v>
      </c>
      <c r="S61" s="406">
        <v>1914.56</v>
      </c>
      <c r="T61" s="409" t="s">
        <v>443</v>
      </c>
      <c r="U61" s="1368"/>
      <c r="V61" s="1369"/>
    </row>
    <row r="62" spans="1:22" s="280" customFormat="1" ht="30" x14ac:dyDescent="0.25">
      <c r="A62" s="389">
        <v>51</v>
      </c>
      <c r="B62" s="1372" t="s">
        <v>444</v>
      </c>
      <c r="C62" s="1375" t="s">
        <v>445</v>
      </c>
      <c r="D62" s="390" t="s">
        <v>446</v>
      </c>
      <c r="E62" s="390"/>
      <c r="F62" s="391">
        <v>1</v>
      </c>
      <c r="G62" s="392" t="s">
        <v>19</v>
      </c>
      <c r="H62" s="393"/>
      <c r="I62" s="393"/>
      <c r="J62" s="416">
        <v>1</v>
      </c>
      <c r="K62" s="395"/>
      <c r="L62" s="396">
        <v>694</v>
      </c>
      <c r="M62" s="396">
        <v>860.56</v>
      </c>
      <c r="N62" s="393">
        <v>844</v>
      </c>
      <c r="O62" s="393">
        <v>1046.56</v>
      </c>
      <c r="P62" s="393">
        <v>994</v>
      </c>
      <c r="Q62" s="393">
        <v>1232.56</v>
      </c>
      <c r="R62" s="393">
        <v>1144</v>
      </c>
      <c r="S62" s="393">
        <v>1294.56</v>
      </c>
      <c r="T62" s="397" t="s">
        <v>370</v>
      </c>
      <c r="U62" s="1378"/>
      <c r="V62" s="1379"/>
    </row>
    <row r="63" spans="1:22" s="280" customFormat="1" ht="20.100000000000001" customHeight="1" x14ac:dyDescent="0.25">
      <c r="A63" s="361">
        <v>52</v>
      </c>
      <c r="B63" s="1373"/>
      <c r="C63" s="1376"/>
      <c r="D63" s="363" t="s">
        <v>447</v>
      </c>
      <c r="E63" s="363"/>
      <c r="F63" s="167">
        <v>1</v>
      </c>
      <c r="G63" s="365" t="s">
        <v>19</v>
      </c>
      <c r="H63" s="366"/>
      <c r="I63" s="366"/>
      <c r="J63" s="367">
        <v>2</v>
      </c>
      <c r="K63" s="53"/>
      <c r="L63" s="369">
        <v>1094</v>
      </c>
      <c r="M63" s="369">
        <v>1356.56</v>
      </c>
      <c r="N63" s="366">
        <v>1244</v>
      </c>
      <c r="O63" s="366">
        <v>1542.56</v>
      </c>
      <c r="P63" s="366">
        <v>1394</v>
      </c>
      <c r="Q63" s="366">
        <v>1728.56</v>
      </c>
      <c r="R63" s="366">
        <v>1544</v>
      </c>
      <c r="S63" s="366">
        <v>1914.56</v>
      </c>
      <c r="T63" s="370" t="s">
        <v>370</v>
      </c>
      <c r="U63" s="1365"/>
      <c r="V63" s="1366"/>
    </row>
    <row r="64" spans="1:22" s="280" customFormat="1" ht="20.100000000000001" customHeight="1" x14ac:dyDescent="0.25">
      <c r="A64" s="361">
        <v>53</v>
      </c>
      <c r="B64" s="1373"/>
      <c r="C64" s="1376"/>
      <c r="D64" s="363" t="s">
        <v>448</v>
      </c>
      <c r="E64" s="363"/>
      <c r="F64" s="167">
        <v>1</v>
      </c>
      <c r="G64" s="365" t="s">
        <v>19</v>
      </c>
      <c r="H64" s="366"/>
      <c r="I64" s="366"/>
      <c r="J64" s="367"/>
      <c r="K64" s="53"/>
      <c r="L64" s="369">
        <v>1094</v>
      </c>
      <c r="M64" s="369">
        <v>1356.56</v>
      </c>
      <c r="N64" s="366">
        <v>1244</v>
      </c>
      <c r="O64" s="366">
        <v>1542.56</v>
      </c>
      <c r="P64" s="366">
        <v>1394</v>
      </c>
      <c r="Q64" s="366">
        <v>1728.56</v>
      </c>
      <c r="R64" s="366">
        <v>1544</v>
      </c>
      <c r="S64" s="366">
        <v>1914.56</v>
      </c>
      <c r="T64" s="370" t="s">
        <v>370</v>
      </c>
      <c r="U64" s="1365"/>
      <c r="V64" s="1366"/>
    </row>
    <row r="65" spans="1:36" s="280" customFormat="1" ht="29.25" customHeight="1" x14ac:dyDescent="0.25">
      <c r="A65" s="361">
        <v>54</v>
      </c>
      <c r="B65" s="1373"/>
      <c r="C65" s="1377"/>
      <c r="D65" s="363" t="s">
        <v>449</v>
      </c>
      <c r="E65" s="363"/>
      <c r="F65" s="167">
        <v>1</v>
      </c>
      <c r="G65" s="365" t="s">
        <v>19</v>
      </c>
      <c r="H65" s="366"/>
      <c r="I65" s="366"/>
      <c r="J65" s="367"/>
      <c r="K65" s="53"/>
      <c r="L65" s="369">
        <v>1094</v>
      </c>
      <c r="M65" s="369">
        <v>1356.56</v>
      </c>
      <c r="N65" s="366">
        <v>1244</v>
      </c>
      <c r="O65" s="366">
        <v>1542.56</v>
      </c>
      <c r="P65" s="366">
        <v>1394</v>
      </c>
      <c r="Q65" s="366">
        <v>1728.56</v>
      </c>
      <c r="R65" s="366">
        <v>1544</v>
      </c>
      <c r="S65" s="366">
        <v>1914.56</v>
      </c>
      <c r="T65" s="370" t="s">
        <v>370</v>
      </c>
      <c r="U65" s="1365"/>
      <c r="V65" s="1366"/>
    </row>
    <row r="66" spans="1:36" s="280" customFormat="1" ht="30" customHeight="1" x14ac:dyDescent="0.25">
      <c r="A66" s="361">
        <v>55</v>
      </c>
      <c r="B66" s="1373"/>
      <c r="C66" s="1380" t="s">
        <v>450</v>
      </c>
      <c r="D66" s="363" t="s">
        <v>451</v>
      </c>
      <c r="E66" s="363"/>
      <c r="F66" s="167">
        <v>1</v>
      </c>
      <c r="G66" s="375" t="s">
        <v>431</v>
      </c>
      <c r="H66" s="366"/>
      <c r="I66" s="366"/>
      <c r="J66" s="367">
        <v>2</v>
      </c>
      <c r="K66" s="53"/>
      <c r="L66" s="369">
        <v>594</v>
      </c>
      <c r="M66" s="369">
        <v>736.56</v>
      </c>
      <c r="N66" s="366">
        <v>744</v>
      </c>
      <c r="O66" s="366">
        <v>922.56</v>
      </c>
      <c r="P66" s="366">
        <v>894</v>
      </c>
      <c r="Q66" s="366">
        <v>1108.56</v>
      </c>
      <c r="R66" s="366">
        <v>1044</v>
      </c>
      <c r="S66" s="366">
        <v>1294.56</v>
      </c>
      <c r="T66" s="417" t="s">
        <v>452</v>
      </c>
      <c r="U66" s="1365"/>
      <c r="V66" s="1366"/>
    </row>
    <row r="67" spans="1:36" s="280" customFormat="1" ht="30" customHeight="1" x14ac:dyDescent="0.25">
      <c r="A67" s="361">
        <v>56</v>
      </c>
      <c r="B67" s="1373"/>
      <c r="C67" s="1380"/>
      <c r="D67" s="363" t="s">
        <v>453</v>
      </c>
      <c r="E67" s="363"/>
      <c r="F67" s="167">
        <v>1</v>
      </c>
      <c r="G67" s="375" t="s">
        <v>431</v>
      </c>
      <c r="H67" s="366"/>
      <c r="I67" s="366"/>
      <c r="J67" s="367">
        <v>2</v>
      </c>
      <c r="K67" s="53"/>
      <c r="L67" s="369">
        <v>594</v>
      </c>
      <c r="M67" s="369">
        <v>736.56</v>
      </c>
      <c r="N67" s="366">
        <v>744</v>
      </c>
      <c r="O67" s="366">
        <v>922.56</v>
      </c>
      <c r="P67" s="366">
        <v>894</v>
      </c>
      <c r="Q67" s="366">
        <v>1108.56</v>
      </c>
      <c r="R67" s="366">
        <v>1044</v>
      </c>
      <c r="S67" s="366">
        <v>1294.56</v>
      </c>
      <c r="T67" s="370" t="s">
        <v>454</v>
      </c>
      <c r="U67" s="1365"/>
      <c r="V67" s="1366"/>
    </row>
    <row r="68" spans="1:36" s="280" customFormat="1" ht="33" x14ac:dyDescent="0.25">
      <c r="A68" s="361">
        <v>57</v>
      </c>
      <c r="B68" s="1373"/>
      <c r="C68" s="362" t="s">
        <v>455</v>
      </c>
      <c r="D68" s="363" t="s">
        <v>456</v>
      </c>
      <c r="E68" s="363"/>
      <c r="F68" s="167">
        <v>1</v>
      </c>
      <c r="G68" s="375" t="s">
        <v>431</v>
      </c>
      <c r="H68" s="366"/>
      <c r="I68" s="366"/>
      <c r="J68" s="367">
        <v>2</v>
      </c>
      <c r="K68" s="53"/>
      <c r="L68" s="369">
        <v>594</v>
      </c>
      <c r="M68" s="369">
        <v>736.56</v>
      </c>
      <c r="N68" s="366">
        <v>744</v>
      </c>
      <c r="O68" s="366">
        <v>922.56</v>
      </c>
      <c r="P68" s="366">
        <v>894</v>
      </c>
      <c r="Q68" s="366">
        <v>1108.56</v>
      </c>
      <c r="R68" s="366">
        <v>1044</v>
      </c>
      <c r="S68" s="366">
        <v>1294.56</v>
      </c>
      <c r="T68" s="417" t="s">
        <v>457</v>
      </c>
      <c r="U68" s="1365"/>
      <c r="V68" s="1366"/>
    </row>
    <row r="69" spans="1:36" s="280" customFormat="1" ht="24.95" customHeight="1" thickBot="1" x14ac:dyDescent="0.3">
      <c r="A69" s="402">
        <v>58</v>
      </c>
      <c r="B69" s="1374"/>
      <c r="C69" s="1367" t="s">
        <v>458</v>
      </c>
      <c r="D69" s="1367"/>
      <c r="E69" s="418"/>
      <c r="F69" s="404">
        <v>1</v>
      </c>
      <c r="G69" s="56"/>
      <c r="H69" s="406"/>
      <c r="I69" s="406"/>
      <c r="J69" s="407">
        <v>2</v>
      </c>
      <c r="K69" s="56"/>
      <c r="L69" s="408">
        <v>1094</v>
      </c>
      <c r="M69" s="408">
        <v>1356.56</v>
      </c>
      <c r="N69" s="406">
        <v>1244</v>
      </c>
      <c r="O69" s="406">
        <v>1542.56</v>
      </c>
      <c r="P69" s="406">
        <v>1394</v>
      </c>
      <c r="Q69" s="406">
        <v>1728.56</v>
      </c>
      <c r="R69" s="406">
        <v>1544</v>
      </c>
      <c r="S69" s="406">
        <v>1914.56</v>
      </c>
      <c r="T69" s="409" t="s">
        <v>443</v>
      </c>
      <c r="U69" s="1368"/>
      <c r="V69" s="1369"/>
    </row>
    <row r="71" spans="1:36" ht="15.75" thickBot="1" x14ac:dyDescent="0.3"/>
    <row r="72" spans="1:36" ht="80.099999999999994" customHeight="1" thickBot="1" x14ac:dyDescent="0.3">
      <c r="C72" s="1370" t="s">
        <v>459</v>
      </c>
      <c r="D72" s="1371"/>
      <c r="T72"/>
      <c r="AB72" s="337"/>
      <c r="AD72" s="419"/>
      <c r="AE72" s="419"/>
    </row>
    <row r="73" spans="1:36" x14ac:dyDescent="0.25">
      <c r="T73"/>
      <c r="AB73" s="337"/>
      <c r="AD73" s="419"/>
      <c r="AE73" s="419"/>
    </row>
    <row r="74" spans="1:36" ht="15.75" thickBot="1" x14ac:dyDescent="0.3">
      <c r="T74"/>
      <c r="AB74" s="337"/>
      <c r="AD74" s="419"/>
      <c r="AE74" s="419"/>
    </row>
    <row r="75" spans="1:36" s="20" customFormat="1" ht="63.75" customHeight="1" thickBot="1" x14ac:dyDescent="0.35">
      <c r="B75" s="420" t="s">
        <v>77</v>
      </c>
      <c r="C75" s="421" t="s">
        <v>460</v>
      </c>
      <c r="J75" s="3"/>
      <c r="Q75"/>
      <c r="R75"/>
      <c r="S75"/>
      <c r="T75"/>
      <c r="U75"/>
      <c r="V75"/>
      <c r="W75"/>
      <c r="X75"/>
      <c r="Y75"/>
      <c r="Z75"/>
      <c r="AA75"/>
      <c r="AB75" s="337"/>
      <c r="AC75"/>
      <c r="AD75" s="419"/>
      <c r="AE75" s="419"/>
      <c r="AF75"/>
      <c r="AG75"/>
      <c r="AH75"/>
      <c r="AI75"/>
      <c r="AJ75"/>
    </row>
    <row r="76" spans="1:36" s="20" customFormat="1" ht="16.5" x14ac:dyDescent="0.3">
      <c r="B76" s="422" t="s">
        <v>13</v>
      </c>
      <c r="C76" s="423">
        <v>160</v>
      </c>
      <c r="J76" s="3"/>
      <c r="Q76"/>
      <c r="R76"/>
      <c r="S76"/>
      <c r="T76"/>
      <c r="U76"/>
      <c r="V76"/>
      <c r="W76"/>
      <c r="X76"/>
      <c r="Y76"/>
      <c r="Z76"/>
      <c r="AA76"/>
      <c r="AB76" s="337"/>
      <c r="AC76"/>
      <c r="AD76" s="419"/>
      <c r="AE76" s="419"/>
      <c r="AF76"/>
      <c r="AG76"/>
      <c r="AH76"/>
      <c r="AI76"/>
      <c r="AJ76"/>
    </row>
    <row r="77" spans="1:36" s="20" customFormat="1" ht="16.5" x14ac:dyDescent="0.3">
      <c r="B77" s="422" t="s">
        <v>79</v>
      </c>
      <c r="C77" s="423">
        <v>160</v>
      </c>
      <c r="J77" s="3"/>
      <c r="Q77"/>
      <c r="R77"/>
      <c r="S77"/>
      <c r="T77"/>
      <c r="U77"/>
      <c r="V77"/>
      <c r="W77"/>
      <c r="X77"/>
      <c r="Y77"/>
      <c r="Z77"/>
      <c r="AA77"/>
      <c r="AB77" s="337"/>
      <c r="AC77"/>
      <c r="AD77" s="419"/>
      <c r="AE77" s="419"/>
      <c r="AF77"/>
      <c r="AG77"/>
      <c r="AH77"/>
      <c r="AI77"/>
      <c r="AJ77"/>
    </row>
    <row r="78" spans="1:36" s="20" customFormat="1" ht="16.5" x14ac:dyDescent="0.3">
      <c r="B78" s="424" t="s">
        <v>80</v>
      </c>
      <c r="C78" s="425">
        <v>380</v>
      </c>
      <c r="J78" s="3"/>
      <c r="Q78"/>
      <c r="R78"/>
      <c r="S78"/>
      <c r="T78"/>
      <c r="U78"/>
      <c r="V78"/>
      <c r="W78"/>
      <c r="X78"/>
      <c r="Y78"/>
      <c r="Z78"/>
      <c r="AA78"/>
      <c r="AB78" s="337"/>
      <c r="AC78"/>
      <c r="AD78" s="419"/>
      <c r="AE78" s="419"/>
      <c r="AF78"/>
      <c r="AG78"/>
      <c r="AH78"/>
      <c r="AI78"/>
      <c r="AJ78"/>
    </row>
    <row r="79" spans="1:36" s="20" customFormat="1" ht="16.5" x14ac:dyDescent="0.3">
      <c r="B79" s="424" t="s">
        <v>81</v>
      </c>
      <c r="C79" s="425">
        <v>485</v>
      </c>
      <c r="J79" s="3"/>
      <c r="Q79"/>
      <c r="R79"/>
      <c r="S79"/>
      <c r="T79"/>
      <c r="U79"/>
      <c r="V79"/>
      <c r="W79"/>
      <c r="X79"/>
      <c r="Y79"/>
      <c r="Z79"/>
      <c r="AA79"/>
      <c r="AB79" s="337"/>
      <c r="AC79"/>
      <c r="AD79" s="419"/>
      <c r="AE79" s="419"/>
      <c r="AF79"/>
      <c r="AG79"/>
      <c r="AH79"/>
      <c r="AI79"/>
      <c r="AJ79"/>
    </row>
    <row r="80" spans="1:36" s="20" customFormat="1" ht="16.5" x14ac:dyDescent="0.3">
      <c r="B80" s="426" t="s">
        <v>82</v>
      </c>
      <c r="C80" s="427">
        <v>540</v>
      </c>
      <c r="J80" s="3"/>
      <c r="Q80"/>
      <c r="R80"/>
      <c r="S80"/>
      <c r="T80"/>
      <c r="U80"/>
      <c r="V80"/>
      <c r="W80"/>
      <c r="X80"/>
      <c r="Y80"/>
      <c r="Z80"/>
      <c r="AA80"/>
      <c r="AB80" s="337"/>
      <c r="AC80"/>
      <c r="AD80" s="419"/>
      <c r="AE80" s="419"/>
      <c r="AF80"/>
      <c r="AG80"/>
      <c r="AH80"/>
      <c r="AI80"/>
      <c r="AJ80"/>
    </row>
    <row r="81" spans="2:36" s="20" customFormat="1" ht="17.25" thickBot="1" x14ac:dyDescent="0.35">
      <c r="B81" s="428" t="s">
        <v>83</v>
      </c>
      <c r="C81" s="429">
        <v>760</v>
      </c>
      <c r="J81" s="3"/>
      <c r="Q81"/>
      <c r="R81"/>
      <c r="S81"/>
      <c r="T81"/>
      <c r="U81"/>
      <c r="V81"/>
      <c r="W81"/>
      <c r="X81"/>
      <c r="Y81"/>
      <c r="Z81"/>
      <c r="AA81"/>
      <c r="AB81" s="337"/>
      <c r="AC81"/>
      <c r="AD81" s="419"/>
      <c r="AE81" s="419"/>
      <c r="AF81"/>
      <c r="AG81"/>
      <c r="AH81"/>
      <c r="AI81"/>
      <c r="AJ81"/>
    </row>
    <row r="82" spans="2:36" s="20" customFormat="1" ht="33" customHeight="1" x14ac:dyDescent="0.3">
      <c r="C82" s="3"/>
      <c r="J82" s="3"/>
      <c r="Q82"/>
      <c r="R82"/>
      <c r="S82"/>
      <c r="T82"/>
      <c r="U82"/>
      <c r="V82"/>
      <c r="W82"/>
      <c r="X82"/>
      <c r="Y82"/>
      <c r="Z82"/>
      <c r="AA82"/>
      <c r="AB82" s="337"/>
      <c r="AC82"/>
      <c r="AD82" s="419"/>
      <c r="AE82" s="419"/>
      <c r="AF82"/>
      <c r="AG82"/>
      <c r="AH82"/>
      <c r="AI82"/>
      <c r="AJ82"/>
    </row>
    <row r="83" spans="2:36" s="102" customFormat="1" ht="22.5" customHeight="1" x14ac:dyDescent="0.25">
      <c r="B83" s="922" t="s">
        <v>273</v>
      </c>
      <c r="C83" s="681"/>
      <c r="D83" s="922"/>
      <c r="E83" s="194"/>
      <c r="F83" s="430"/>
      <c r="G83" s="431"/>
      <c r="H83" s="432"/>
      <c r="I83" s="432"/>
      <c r="J83" s="432"/>
      <c r="K83" s="78"/>
      <c r="L83" s="78"/>
      <c r="Q83" s="280"/>
      <c r="R83" s="280"/>
      <c r="S83" s="280"/>
      <c r="T83" s="280"/>
      <c r="U83" s="280"/>
      <c r="V83" s="280"/>
      <c r="W83" s="280"/>
      <c r="X83" s="280"/>
      <c r="Y83" s="280"/>
      <c r="Z83" s="280"/>
      <c r="AA83" s="280"/>
      <c r="AB83" s="311"/>
      <c r="AC83" s="280"/>
      <c r="AD83" s="433"/>
      <c r="AE83" s="433"/>
      <c r="AF83" s="280"/>
      <c r="AG83" s="280"/>
      <c r="AH83" s="280"/>
      <c r="AI83" s="280"/>
      <c r="AJ83" s="280"/>
    </row>
    <row r="84" spans="2:36" s="20" customFormat="1" ht="18.75" x14ac:dyDescent="0.3">
      <c r="B84" s="1182" t="s">
        <v>85</v>
      </c>
      <c r="C84" s="1182"/>
      <c r="D84" s="1182"/>
      <c r="E84" s="1182"/>
      <c r="F84" s="1182"/>
      <c r="G84" s="1182"/>
      <c r="H84" s="1182"/>
      <c r="I84" s="1182"/>
      <c r="J84" s="1182"/>
      <c r="K84" s="1182"/>
      <c r="L84" s="213"/>
      <c r="Q84"/>
      <c r="R84"/>
      <c r="S84"/>
      <c r="T84"/>
      <c r="U84"/>
      <c r="V84"/>
      <c r="W84"/>
      <c r="X84"/>
      <c r="Y84"/>
      <c r="Z84"/>
      <c r="AA84"/>
      <c r="AB84" s="337"/>
      <c r="AC84"/>
      <c r="AD84" s="419"/>
      <c r="AE84" s="419"/>
      <c r="AF84"/>
      <c r="AG84"/>
      <c r="AH84"/>
      <c r="AI84"/>
      <c r="AJ84"/>
    </row>
    <row r="85" spans="2:36" s="20" customFormat="1" ht="56.25" customHeight="1" x14ac:dyDescent="0.3">
      <c r="B85" s="1178" t="s">
        <v>95</v>
      </c>
      <c r="C85" s="1178"/>
      <c r="D85" s="1178"/>
      <c r="E85" s="1178"/>
      <c r="F85" s="1178"/>
      <c r="G85" s="1178"/>
      <c r="H85" s="1178"/>
      <c r="I85" s="1178"/>
      <c r="J85" s="1178"/>
      <c r="K85" s="1178"/>
      <c r="L85" s="214"/>
      <c r="Q85"/>
      <c r="R85"/>
      <c r="S85"/>
      <c r="T85"/>
      <c r="U85"/>
      <c r="V85"/>
      <c r="W85"/>
      <c r="X85"/>
      <c r="Y85"/>
      <c r="Z85"/>
      <c r="AA85"/>
      <c r="AB85" s="337"/>
      <c r="AC85"/>
      <c r="AD85" s="419"/>
      <c r="AE85" s="419"/>
      <c r="AF85"/>
      <c r="AG85"/>
      <c r="AH85"/>
      <c r="AI85"/>
      <c r="AJ85"/>
    </row>
    <row r="86" spans="2:36" s="20" customFormat="1" ht="40.5" customHeight="1" x14ac:dyDescent="0.3">
      <c r="B86" s="1178" t="s">
        <v>96</v>
      </c>
      <c r="C86" s="1178"/>
      <c r="D86" s="1178"/>
      <c r="E86" s="1178"/>
      <c r="F86" s="1178"/>
      <c r="G86" s="1178"/>
      <c r="H86" s="1178"/>
      <c r="I86" s="1178"/>
      <c r="J86" s="1178"/>
      <c r="K86" s="1178"/>
      <c r="L86" s="214"/>
      <c r="Q86"/>
      <c r="R86"/>
      <c r="S86"/>
      <c r="T86"/>
      <c r="U86"/>
      <c r="V86"/>
      <c r="W86"/>
      <c r="X86"/>
      <c r="Y86"/>
      <c r="Z86"/>
      <c r="AA86"/>
      <c r="AB86" s="337"/>
      <c r="AC86"/>
      <c r="AD86" s="419"/>
      <c r="AE86" s="419"/>
      <c r="AF86"/>
      <c r="AG86"/>
      <c r="AH86"/>
      <c r="AI86"/>
      <c r="AJ86"/>
    </row>
    <row r="87" spans="2:36" s="20" customFormat="1" ht="30" customHeight="1" x14ac:dyDescent="0.3">
      <c r="B87" s="1178" t="s">
        <v>97</v>
      </c>
      <c r="C87" s="1178"/>
      <c r="D87" s="1178"/>
      <c r="E87" s="1178"/>
      <c r="F87" s="1178"/>
      <c r="G87" s="1178"/>
      <c r="H87" s="1178"/>
      <c r="I87" s="1178"/>
      <c r="J87" s="1178"/>
      <c r="K87" s="1178"/>
      <c r="L87" s="214"/>
      <c r="Q87"/>
      <c r="R87"/>
      <c r="S87"/>
      <c r="T87"/>
      <c r="U87"/>
      <c r="V87"/>
      <c r="W87"/>
      <c r="X87"/>
      <c r="Y87"/>
      <c r="Z87"/>
      <c r="AA87"/>
      <c r="AB87" s="337"/>
      <c r="AC87"/>
      <c r="AD87" s="419"/>
      <c r="AE87" s="419"/>
      <c r="AF87"/>
      <c r="AG87"/>
      <c r="AH87"/>
      <c r="AI87"/>
      <c r="AJ87"/>
    </row>
    <row r="88" spans="2:36" s="20" customFormat="1" ht="60.75" customHeight="1" x14ac:dyDescent="0.3">
      <c r="B88" s="1178" t="s">
        <v>98</v>
      </c>
      <c r="C88" s="1178"/>
      <c r="D88" s="1178"/>
      <c r="E88" s="1178"/>
      <c r="F88" s="1178"/>
      <c r="G88" s="1178"/>
      <c r="H88" s="1178"/>
      <c r="I88" s="1178"/>
      <c r="J88" s="1178"/>
      <c r="K88" s="1178"/>
      <c r="L88" s="214"/>
      <c r="Q88"/>
      <c r="R88"/>
      <c r="S88"/>
      <c r="T88"/>
      <c r="U88"/>
      <c r="V88"/>
      <c r="W88"/>
      <c r="X88"/>
      <c r="Y88"/>
      <c r="Z88"/>
      <c r="AA88"/>
      <c r="AB88" s="337"/>
      <c r="AC88"/>
      <c r="AD88" s="419"/>
      <c r="AE88" s="419"/>
      <c r="AF88"/>
      <c r="AG88"/>
      <c r="AH88"/>
      <c r="AI88"/>
      <c r="AJ88"/>
    </row>
    <row r="89" spans="2:36" s="20" customFormat="1" ht="30" customHeight="1" x14ac:dyDescent="0.3">
      <c r="B89" s="1178" t="s">
        <v>99</v>
      </c>
      <c r="C89" s="1178"/>
      <c r="D89" s="1178"/>
      <c r="E89" s="1178"/>
      <c r="F89" s="1178"/>
      <c r="G89" s="1178"/>
      <c r="H89" s="1178"/>
      <c r="I89" s="1178"/>
      <c r="J89" s="1178"/>
      <c r="K89" s="1178"/>
      <c r="L89" s="214"/>
    </row>
    <row r="90" spans="2:36" s="20" customFormat="1" ht="30" customHeight="1" x14ac:dyDescent="0.3">
      <c r="B90" s="1178" t="s">
        <v>274</v>
      </c>
      <c r="C90" s="1178"/>
      <c r="D90" s="1178"/>
      <c r="E90" s="1178"/>
      <c r="F90" s="1178"/>
      <c r="G90" s="1178"/>
      <c r="H90" s="1178"/>
      <c r="I90" s="1178"/>
      <c r="J90" s="1178"/>
      <c r="K90" s="1178"/>
      <c r="L90" s="214"/>
    </row>
    <row r="91" spans="2:36" s="20" customFormat="1" ht="39" customHeight="1" x14ac:dyDescent="0.3">
      <c r="B91" s="1178" t="s">
        <v>101</v>
      </c>
      <c r="C91" s="1178"/>
      <c r="D91" s="1178"/>
      <c r="E91" s="1178"/>
      <c r="F91" s="1178"/>
      <c r="G91" s="1178"/>
      <c r="H91" s="1178"/>
      <c r="I91" s="1178"/>
      <c r="J91" s="1178"/>
      <c r="K91" s="1178"/>
      <c r="L91" s="214"/>
    </row>
    <row r="92" spans="2:36" s="20" customFormat="1" ht="69" customHeight="1" x14ac:dyDescent="0.3">
      <c r="B92" s="1178" t="s">
        <v>461</v>
      </c>
      <c r="C92" s="1178"/>
      <c r="D92" s="1178"/>
      <c r="E92" s="1178"/>
      <c r="F92" s="1178"/>
      <c r="G92" s="1178"/>
      <c r="H92" s="1178"/>
      <c r="I92" s="1178"/>
      <c r="J92" s="1178"/>
      <c r="K92" s="1178"/>
      <c r="L92" s="214"/>
    </row>
    <row r="93" spans="2:36" s="20" customFormat="1" ht="14.25" customHeight="1" x14ac:dyDescent="0.3">
      <c r="B93" s="434"/>
      <c r="C93" s="435"/>
      <c r="D93" s="435"/>
      <c r="E93" s="435"/>
      <c r="F93" s="435"/>
      <c r="G93" s="435"/>
      <c r="H93" s="435"/>
      <c r="I93" s="435"/>
      <c r="J93" s="435"/>
      <c r="K93" s="435"/>
      <c r="L93" s="436"/>
    </row>
    <row r="94" spans="2:36" s="20" customFormat="1" ht="18.75" x14ac:dyDescent="0.35">
      <c r="B94" s="1213" t="s">
        <v>86</v>
      </c>
      <c r="C94" s="1213"/>
      <c r="D94" s="1213"/>
      <c r="E94" s="1213"/>
      <c r="F94" s="62"/>
      <c r="G94" s="63"/>
      <c r="H94" s="64"/>
      <c r="I94" s="64"/>
      <c r="J94" s="64"/>
      <c r="K94" s="3"/>
      <c r="L94" s="3"/>
    </row>
    <row r="95" spans="2:36" s="20" customFormat="1" ht="125.25" customHeight="1" x14ac:dyDescent="0.35">
      <c r="B95" s="1362" t="s">
        <v>462</v>
      </c>
      <c r="C95" s="1363"/>
      <c r="D95" s="1363"/>
      <c r="E95" s="1364"/>
      <c r="F95" s="62"/>
      <c r="G95" s="63"/>
      <c r="H95" s="64"/>
      <c r="I95" s="64"/>
      <c r="J95" s="64"/>
      <c r="K95" s="3"/>
      <c r="L95" s="3"/>
    </row>
    <row r="96" spans="2:36" s="20" customFormat="1" ht="33" customHeight="1" x14ac:dyDescent="0.35">
      <c r="B96" s="1362" t="s">
        <v>276</v>
      </c>
      <c r="C96" s="1363"/>
      <c r="D96" s="1363"/>
      <c r="E96" s="1364"/>
      <c r="F96" s="62"/>
      <c r="G96" s="63"/>
      <c r="H96" s="64"/>
      <c r="I96" s="64"/>
      <c r="J96" s="64"/>
      <c r="K96" s="3"/>
      <c r="L96" s="3"/>
    </row>
    <row r="97" spans="2:16" s="20" customFormat="1" ht="41.25" customHeight="1" x14ac:dyDescent="0.35">
      <c r="B97" s="1361" t="s">
        <v>277</v>
      </c>
      <c r="C97" s="1361"/>
      <c r="D97" s="1361"/>
      <c r="E97" s="1361"/>
      <c r="F97" s="62"/>
      <c r="G97" s="63"/>
      <c r="H97" s="64"/>
      <c r="I97" s="64"/>
      <c r="J97" s="64"/>
      <c r="K97" s="3"/>
      <c r="L97" s="3"/>
      <c r="P97" s="65"/>
    </row>
    <row r="98" spans="2:16" s="20" customFormat="1" ht="29.25" customHeight="1" x14ac:dyDescent="0.35">
      <c r="B98" s="1177" t="s">
        <v>89</v>
      </c>
      <c r="C98" s="1177"/>
      <c r="D98" s="1177"/>
      <c r="E98" s="1177"/>
      <c r="F98" s="62"/>
      <c r="G98" s="63"/>
      <c r="H98" s="64"/>
      <c r="I98" s="64"/>
      <c r="J98" s="64"/>
      <c r="K98" s="3"/>
      <c r="L98" s="3"/>
    </row>
    <row r="99" spans="2:16" s="20" customFormat="1" ht="26.25" customHeight="1" x14ac:dyDescent="0.35">
      <c r="B99" s="1177" t="s">
        <v>90</v>
      </c>
      <c r="C99" s="1177"/>
      <c r="D99" s="1177"/>
      <c r="E99" s="1177"/>
      <c r="F99" s="62"/>
      <c r="G99" s="63"/>
      <c r="H99" s="64"/>
      <c r="I99" s="64"/>
      <c r="J99" s="64"/>
      <c r="K99" s="3"/>
      <c r="L99" s="3"/>
    </row>
    <row r="100" spans="2:16" s="20" customFormat="1" ht="28.5" customHeight="1" x14ac:dyDescent="0.35">
      <c r="B100" s="1177" t="s">
        <v>278</v>
      </c>
      <c r="C100" s="1177"/>
      <c r="D100" s="1177"/>
      <c r="E100" s="1177"/>
      <c r="F100" s="62"/>
      <c r="G100" s="63"/>
      <c r="H100" s="64"/>
      <c r="I100" s="64"/>
      <c r="J100" s="64"/>
      <c r="K100" s="3"/>
      <c r="L100" s="3"/>
    </row>
    <row r="101" spans="2:16" s="20" customFormat="1" ht="16.5" x14ac:dyDescent="0.3">
      <c r="B101" s="77"/>
      <c r="C101" s="77"/>
      <c r="D101" s="77"/>
      <c r="E101" s="77"/>
      <c r="J101" s="3"/>
    </row>
  </sheetData>
  <mergeCells count="123">
    <mergeCell ref="A2:V2"/>
    <mergeCell ref="A3:A4"/>
    <mergeCell ref="B3:D4"/>
    <mergeCell ref="F3:F4"/>
    <mergeCell ref="G3:G4"/>
    <mergeCell ref="I3:I4"/>
    <mergeCell ref="J3:K3"/>
    <mergeCell ref="M3:M4"/>
    <mergeCell ref="N3:O4"/>
    <mergeCell ref="P3:Q4"/>
    <mergeCell ref="R3:S4"/>
    <mergeCell ref="T3:T4"/>
    <mergeCell ref="U3:V4"/>
    <mergeCell ref="B5:B32"/>
    <mergeCell ref="C5:C12"/>
    <mergeCell ref="U5:V5"/>
    <mergeCell ref="U6:V6"/>
    <mergeCell ref="U7:V7"/>
    <mergeCell ref="U8:V8"/>
    <mergeCell ref="U9:V9"/>
    <mergeCell ref="A20:A28"/>
    <mergeCell ref="D20:D28"/>
    <mergeCell ref="E20:E28"/>
    <mergeCell ref="F20:F28"/>
    <mergeCell ref="G20:G28"/>
    <mergeCell ref="U10:V10"/>
    <mergeCell ref="U11:V11"/>
    <mergeCell ref="U12:V12"/>
    <mergeCell ref="C13:C15"/>
    <mergeCell ref="U13:V13"/>
    <mergeCell ref="U14:V14"/>
    <mergeCell ref="U15:V15"/>
    <mergeCell ref="H20:H28"/>
    <mergeCell ref="I20:I28"/>
    <mergeCell ref="J20:J28"/>
    <mergeCell ref="K20:K28"/>
    <mergeCell ref="L20:L28"/>
    <mergeCell ref="M20:M28"/>
    <mergeCell ref="C16:C30"/>
    <mergeCell ref="U16:V16"/>
    <mergeCell ref="U17:V17"/>
    <mergeCell ref="U18:V18"/>
    <mergeCell ref="U19:V19"/>
    <mergeCell ref="T20:T28"/>
    <mergeCell ref="U28:V28"/>
    <mergeCell ref="U29:V29"/>
    <mergeCell ref="U30:V30"/>
    <mergeCell ref="U31:V31"/>
    <mergeCell ref="U32:V32"/>
    <mergeCell ref="N20:N28"/>
    <mergeCell ref="O20:O28"/>
    <mergeCell ref="P20:P28"/>
    <mergeCell ref="Q20:Q28"/>
    <mergeCell ref="R20:R28"/>
    <mergeCell ref="S20:S28"/>
    <mergeCell ref="U40:V40"/>
    <mergeCell ref="C41:C42"/>
    <mergeCell ref="U41:V41"/>
    <mergeCell ref="U42:V42"/>
    <mergeCell ref="C43:D43"/>
    <mergeCell ref="U43:V43"/>
    <mergeCell ref="B33:B46"/>
    <mergeCell ref="C33:C36"/>
    <mergeCell ref="U33:V33"/>
    <mergeCell ref="U34:V34"/>
    <mergeCell ref="U35:V35"/>
    <mergeCell ref="U36:V36"/>
    <mergeCell ref="U37:V37"/>
    <mergeCell ref="U38:V38"/>
    <mergeCell ref="U39:V39"/>
    <mergeCell ref="C40:D40"/>
    <mergeCell ref="C44:D44"/>
    <mergeCell ref="U44:V44"/>
    <mergeCell ref="C45:C46"/>
    <mergeCell ref="U45:V45"/>
    <mergeCell ref="U46:V46"/>
    <mergeCell ref="B47:B61"/>
    <mergeCell ref="C47:C51"/>
    <mergeCell ref="U47:V47"/>
    <mergeCell ref="U48:V48"/>
    <mergeCell ref="U49:V49"/>
    <mergeCell ref="U50:V50"/>
    <mergeCell ref="U51:V51"/>
    <mergeCell ref="C52:C61"/>
    <mergeCell ref="U52:V52"/>
    <mergeCell ref="U53:V53"/>
    <mergeCell ref="U54:V54"/>
    <mergeCell ref="U55:V55"/>
    <mergeCell ref="U56:V56"/>
    <mergeCell ref="U57:V57"/>
    <mergeCell ref="U58:V58"/>
    <mergeCell ref="U59:V59"/>
    <mergeCell ref="U60:V60"/>
    <mergeCell ref="U61:V61"/>
    <mergeCell ref="B86:K86"/>
    <mergeCell ref="B87:K87"/>
    <mergeCell ref="B88:K88"/>
    <mergeCell ref="B89:K89"/>
    <mergeCell ref="U66:V66"/>
    <mergeCell ref="U67:V67"/>
    <mergeCell ref="U68:V68"/>
    <mergeCell ref="C69:D69"/>
    <mergeCell ref="U69:V69"/>
    <mergeCell ref="C72:D72"/>
    <mergeCell ref="B62:B69"/>
    <mergeCell ref="C62:C65"/>
    <mergeCell ref="U62:V62"/>
    <mergeCell ref="U63:V63"/>
    <mergeCell ref="U64:V64"/>
    <mergeCell ref="U65:V65"/>
    <mergeCell ref="C66:C67"/>
    <mergeCell ref="B84:K84"/>
    <mergeCell ref="B85:K85"/>
    <mergeCell ref="B97:E97"/>
    <mergeCell ref="B98:E98"/>
    <mergeCell ref="B99:E99"/>
    <mergeCell ref="B100:E100"/>
    <mergeCell ref="B90:K90"/>
    <mergeCell ref="B91:K91"/>
    <mergeCell ref="B92:K92"/>
    <mergeCell ref="B94:E94"/>
    <mergeCell ref="B95:E95"/>
    <mergeCell ref="B96:E9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6293-42EC-4808-B94D-C6C5F38B9130}">
  <sheetPr>
    <pageSetUpPr fitToPage="1"/>
  </sheetPr>
  <dimension ref="A1:Q44"/>
  <sheetViews>
    <sheetView tabSelected="1" workbookViewId="0">
      <selection activeCell="A8" sqref="A8"/>
    </sheetView>
  </sheetViews>
  <sheetFormatPr defaultColWidth="28.140625" defaultRowHeight="15" x14ac:dyDescent="0.25"/>
  <cols>
    <col min="2" max="2" width="28.140625" style="337"/>
    <col min="3" max="3" width="14.28515625" style="337" customWidth="1"/>
    <col min="4" max="4" width="17.5703125" style="337" customWidth="1"/>
    <col min="5" max="5" width="12.85546875" style="337" customWidth="1"/>
    <col min="6" max="6" width="15.5703125" style="340" bestFit="1" customWidth="1"/>
    <col min="7" max="7" width="23.7109375" style="341" bestFit="1" customWidth="1"/>
    <col min="8" max="8" width="14.5703125" style="342" bestFit="1" customWidth="1"/>
    <col min="9" max="10" width="28.140625" style="337"/>
    <col min="11" max="11" width="21.7109375" customWidth="1"/>
  </cols>
  <sheetData>
    <row r="1" spans="1:11" ht="21.75" thickBot="1" x14ac:dyDescent="0.3">
      <c r="A1" s="1201" t="s">
        <v>316</v>
      </c>
      <c r="B1" s="1202"/>
      <c r="C1" s="1202"/>
      <c r="D1" s="1202"/>
      <c r="E1" s="1202"/>
      <c r="F1" s="1202"/>
      <c r="G1" s="1202"/>
      <c r="H1" s="1202"/>
      <c r="I1" s="1202"/>
      <c r="J1" s="1202"/>
      <c r="K1" s="1203"/>
    </row>
    <row r="2" spans="1:11" s="280" customFormat="1" ht="16.5" x14ac:dyDescent="0.25">
      <c r="A2" s="1204" t="s">
        <v>317</v>
      </c>
      <c r="B2" s="1206" t="s">
        <v>3</v>
      </c>
      <c r="C2" s="1208" t="s">
        <v>5</v>
      </c>
      <c r="D2" s="1208"/>
      <c r="E2" s="1183" t="s">
        <v>318</v>
      </c>
      <c r="F2" s="1183" t="s">
        <v>319</v>
      </c>
      <c r="G2" s="1183" t="s">
        <v>320</v>
      </c>
      <c r="H2" s="1183" t="s">
        <v>321</v>
      </c>
      <c r="I2" s="1183" t="s">
        <v>8</v>
      </c>
      <c r="J2" s="1183" t="s">
        <v>322</v>
      </c>
      <c r="K2" s="1185" t="s">
        <v>10</v>
      </c>
    </row>
    <row r="3" spans="1:11" s="280" customFormat="1" ht="33.75" thickBot="1" x14ac:dyDescent="0.3">
      <c r="A3" s="1205"/>
      <c r="B3" s="1207" t="s">
        <v>3</v>
      </c>
      <c r="C3" s="941" t="s">
        <v>11</v>
      </c>
      <c r="D3" s="941" t="s">
        <v>177</v>
      </c>
      <c r="E3" s="1184" t="s">
        <v>318</v>
      </c>
      <c r="F3" s="1184" t="s">
        <v>323</v>
      </c>
      <c r="G3" s="1184" t="s">
        <v>320</v>
      </c>
      <c r="H3" s="1184" t="s">
        <v>324</v>
      </c>
      <c r="I3" s="1184" t="s">
        <v>8</v>
      </c>
      <c r="J3" s="1184" t="s">
        <v>322</v>
      </c>
      <c r="K3" s="1186" t="s">
        <v>10</v>
      </c>
    </row>
    <row r="4" spans="1:11" ht="18" x14ac:dyDescent="0.25">
      <c r="A4" s="282" t="s">
        <v>325</v>
      </c>
      <c r="B4" s="283" t="s">
        <v>326</v>
      </c>
      <c r="C4" s="284">
        <v>1</v>
      </c>
      <c r="D4" s="285"/>
      <c r="E4" s="143"/>
      <c r="F4" s="982">
        <v>680</v>
      </c>
      <c r="G4" s="286" t="s">
        <v>327</v>
      </c>
      <c r="H4" s="923">
        <v>540</v>
      </c>
      <c r="I4" s="287"/>
      <c r="J4" s="287"/>
      <c r="K4" s="288">
        <v>46079</v>
      </c>
    </row>
    <row r="5" spans="1:11" ht="90" x14ac:dyDescent="0.25">
      <c r="A5" s="289" t="s">
        <v>328</v>
      </c>
      <c r="B5" s="166" t="s">
        <v>329</v>
      </c>
      <c r="C5" s="17">
        <v>1</v>
      </c>
      <c r="D5" s="154">
        <v>1</v>
      </c>
      <c r="E5" s="143"/>
      <c r="F5" s="982">
        <v>1620</v>
      </c>
      <c r="G5" s="286" t="s">
        <v>327</v>
      </c>
      <c r="H5" s="923">
        <v>1080</v>
      </c>
      <c r="I5" s="290" t="s">
        <v>1204</v>
      </c>
      <c r="J5" s="291"/>
      <c r="K5" s="292">
        <v>46079</v>
      </c>
    </row>
    <row r="6" spans="1:11" ht="36" x14ac:dyDescent="0.25">
      <c r="A6" s="293" t="s">
        <v>330</v>
      </c>
      <c r="B6" s="294" t="s">
        <v>331</v>
      </c>
      <c r="C6" s="295">
        <v>1</v>
      </c>
      <c r="D6" s="296"/>
      <c r="E6" s="143"/>
      <c r="F6" s="982">
        <v>910</v>
      </c>
      <c r="G6" s="286" t="s">
        <v>327</v>
      </c>
      <c r="H6" s="923">
        <v>780</v>
      </c>
      <c r="I6" s="290"/>
      <c r="J6" s="291"/>
      <c r="K6" s="292">
        <v>46079</v>
      </c>
    </row>
    <row r="7" spans="1:11" ht="36" x14ac:dyDescent="0.25">
      <c r="A7" s="293" t="s">
        <v>332</v>
      </c>
      <c r="B7" s="166" t="s">
        <v>329</v>
      </c>
      <c r="C7" s="17">
        <v>1</v>
      </c>
      <c r="D7" s="154">
        <v>1</v>
      </c>
      <c r="E7" s="143"/>
      <c r="F7" s="982">
        <v>2100</v>
      </c>
      <c r="G7" s="16" t="s">
        <v>333</v>
      </c>
      <c r="H7" s="923">
        <v>1550</v>
      </c>
      <c r="I7" s="291" t="s">
        <v>334</v>
      </c>
      <c r="J7" s="291"/>
      <c r="K7" s="292">
        <v>46079</v>
      </c>
    </row>
    <row r="8" spans="1:11" s="305" customFormat="1" ht="108" x14ac:dyDescent="0.25">
      <c r="A8" s="297" t="s">
        <v>1249</v>
      </c>
      <c r="B8" s="298" t="s">
        <v>335</v>
      </c>
      <c r="C8" s="299">
        <v>5</v>
      </c>
      <c r="D8" s="299">
        <v>2</v>
      </c>
      <c r="E8" s="300"/>
      <c r="F8" s="982"/>
      <c r="G8" s="301"/>
      <c r="H8" s="923">
        <v>700</v>
      </c>
      <c r="I8" s="302"/>
      <c r="J8" s="303" t="s">
        <v>336</v>
      </c>
      <c r="K8" s="304">
        <v>46146</v>
      </c>
    </row>
    <row r="9" spans="1:11" s="305" customFormat="1" ht="36" x14ac:dyDescent="0.25">
      <c r="A9" s="297" t="s">
        <v>337</v>
      </c>
      <c r="B9" s="298" t="s">
        <v>335</v>
      </c>
      <c r="C9" s="299">
        <v>5</v>
      </c>
      <c r="D9" s="299">
        <v>2</v>
      </c>
      <c r="E9" s="300"/>
      <c r="F9" s="982"/>
      <c r="G9" s="301"/>
      <c r="H9" s="923">
        <v>5370</v>
      </c>
      <c r="I9" s="302"/>
      <c r="J9" s="306"/>
      <c r="K9" s="304">
        <v>46146</v>
      </c>
    </row>
    <row r="10" spans="1:11" s="305" customFormat="1" ht="54" x14ac:dyDescent="0.25">
      <c r="A10" s="297" t="s">
        <v>338</v>
      </c>
      <c r="B10" s="298" t="s">
        <v>335</v>
      </c>
      <c r="C10" s="299">
        <v>5</v>
      </c>
      <c r="D10" s="299">
        <v>2</v>
      </c>
      <c r="E10" s="300"/>
      <c r="F10" s="982"/>
      <c r="G10" s="301"/>
      <c r="H10" s="923">
        <v>3000</v>
      </c>
      <c r="I10" s="302"/>
      <c r="J10" s="306" t="s">
        <v>339</v>
      </c>
      <c r="K10" s="304">
        <v>46146</v>
      </c>
    </row>
    <row r="11" spans="1:11" s="305" customFormat="1" ht="54" x14ac:dyDescent="0.25">
      <c r="A11" s="297" t="s">
        <v>340</v>
      </c>
      <c r="B11" s="298" t="s">
        <v>335</v>
      </c>
      <c r="C11" s="299">
        <v>5</v>
      </c>
      <c r="D11" s="299">
        <v>2</v>
      </c>
      <c r="E11" s="300"/>
      <c r="F11" s="982"/>
      <c r="G11" s="301"/>
      <c r="H11" s="923">
        <v>4800</v>
      </c>
      <c r="I11" s="302"/>
      <c r="J11" s="306" t="s">
        <v>341</v>
      </c>
      <c r="K11" s="304">
        <v>46146</v>
      </c>
    </row>
    <row r="12" spans="1:11" s="311" customFormat="1" ht="99" x14ac:dyDescent="0.25">
      <c r="A12" s="293" t="s">
        <v>342</v>
      </c>
      <c r="B12" s="307" t="s">
        <v>343</v>
      </c>
      <c r="C12" s="52">
        <v>2</v>
      </c>
      <c r="D12" s="52">
        <v>1</v>
      </c>
      <c r="E12" s="52"/>
      <c r="F12" s="982">
        <v>18000</v>
      </c>
      <c r="G12" s="308"/>
      <c r="H12" s="923">
        <v>2500</v>
      </c>
      <c r="I12" s="309" t="s">
        <v>344</v>
      </c>
      <c r="J12" s="310" t="s">
        <v>345</v>
      </c>
      <c r="K12" s="292">
        <v>45300</v>
      </c>
    </row>
    <row r="13" spans="1:11" s="280" customFormat="1" ht="18.75" thickBot="1" x14ac:dyDescent="0.3">
      <c r="A13" s="312" t="s">
        <v>346</v>
      </c>
      <c r="B13" s="313" t="s">
        <v>347</v>
      </c>
      <c r="C13" s="56">
        <v>7</v>
      </c>
      <c r="D13" s="314">
        <v>1</v>
      </c>
      <c r="E13" s="314"/>
      <c r="F13" s="983"/>
      <c r="G13" s="315"/>
      <c r="H13" s="924">
        <v>3800</v>
      </c>
      <c r="I13" s="316"/>
      <c r="J13" s="317" t="s">
        <v>348</v>
      </c>
      <c r="K13" s="318">
        <v>45629</v>
      </c>
    </row>
    <row r="14" spans="1:11" ht="18" x14ac:dyDescent="0.35">
      <c r="A14" s="319"/>
      <c r="B14" s="3"/>
      <c r="C14" s="3"/>
      <c r="D14" s="311"/>
      <c r="E14" s="311"/>
      <c r="F14" s="320"/>
      <c r="G14" s="321"/>
      <c r="H14" s="322"/>
      <c r="I14" s="323"/>
      <c r="J14" s="324"/>
      <c r="K14" s="305"/>
    </row>
    <row r="15" spans="1:11" ht="18.75" thickBot="1" x14ac:dyDescent="0.4">
      <c r="A15" s="319"/>
      <c r="B15" s="3"/>
      <c r="C15" s="3"/>
      <c r="D15" s="311"/>
      <c r="E15" s="311"/>
      <c r="F15" s="320"/>
      <c r="G15" s="321"/>
      <c r="H15" s="322"/>
      <c r="I15" s="323"/>
      <c r="J15" s="324"/>
      <c r="K15" s="305"/>
    </row>
    <row r="16" spans="1:11" s="280" customFormat="1" ht="16.5" x14ac:dyDescent="0.25">
      <c r="A16" s="1187" t="s">
        <v>317</v>
      </c>
      <c r="B16" s="1189" t="s">
        <v>3</v>
      </c>
      <c r="C16" s="1191" t="s">
        <v>5</v>
      </c>
      <c r="D16" s="1191"/>
      <c r="E16" s="1192" t="s">
        <v>318</v>
      </c>
      <c r="F16" s="1192" t="s">
        <v>349</v>
      </c>
      <c r="G16" s="1192" t="s">
        <v>320</v>
      </c>
      <c r="H16" s="1192" t="s">
        <v>350</v>
      </c>
      <c r="I16" s="1192" t="s">
        <v>8</v>
      </c>
      <c r="J16" s="1192" t="s">
        <v>322</v>
      </c>
      <c r="K16" s="1194" t="s">
        <v>10</v>
      </c>
    </row>
    <row r="17" spans="1:15" s="280" customFormat="1" ht="33.75" thickBot="1" x14ac:dyDescent="0.3">
      <c r="A17" s="1188"/>
      <c r="B17" s="1190" t="s">
        <v>3</v>
      </c>
      <c r="C17" s="281" t="s">
        <v>11</v>
      </c>
      <c r="D17" s="281" t="s">
        <v>177</v>
      </c>
      <c r="E17" s="1193" t="s">
        <v>318</v>
      </c>
      <c r="F17" s="1193" t="s">
        <v>323</v>
      </c>
      <c r="G17" s="1193" t="s">
        <v>320</v>
      </c>
      <c r="H17" s="1193" t="s">
        <v>324</v>
      </c>
      <c r="I17" s="1193" t="s">
        <v>8</v>
      </c>
      <c r="J17" s="1193" t="s">
        <v>322</v>
      </c>
      <c r="K17" s="1195" t="s">
        <v>10</v>
      </c>
    </row>
    <row r="18" spans="1:15" ht="49.5" x14ac:dyDescent="0.25">
      <c r="A18" s="325" t="s">
        <v>351</v>
      </c>
      <c r="B18" s="326" t="s">
        <v>352</v>
      </c>
      <c r="C18" s="327">
        <v>1</v>
      </c>
      <c r="D18" s="327">
        <v>1</v>
      </c>
      <c r="E18" s="327">
        <v>2</v>
      </c>
      <c r="F18" s="980">
        <v>11930</v>
      </c>
      <c r="G18" s="328"/>
      <c r="H18" s="978">
        <v>1050</v>
      </c>
      <c r="I18" s="329" t="s">
        <v>353</v>
      </c>
      <c r="J18" s="330" t="s">
        <v>354</v>
      </c>
      <c r="K18" s="1196">
        <v>45744</v>
      </c>
    </row>
    <row r="19" spans="1:15" ht="50.25" thickBot="1" x14ac:dyDescent="0.3">
      <c r="A19" s="331" t="s">
        <v>351</v>
      </c>
      <c r="B19" s="332" t="s">
        <v>352</v>
      </c>
      <c r="C19" s="333">
        <v>1</v>
      </c>
      <c r="D19" s="333">
        <v>1</v>
      </c>
      <c r="E19" s="333">
        <v>2</v>
      </c>
      <c r="F19" s="981">
        <v>9548</v>
      </c>
      <c r="G19" s="334"/>
      <c r="H19" s="979">
        <v>150</v>
      </c>
      <c r="I19" s="335" t="s">
        <v>353</v>
      </c>
      <c r="J19" s="336" t="s">
        <v>355</v>
      </c>
      <c r="K19" s="1197"/>
    </row>
    <row r="20" spans="1:15" ht="18" x14ac:dyDescent="0.35">
      <c r="A20" s="319"/>
      <c r="B20" s="3"/>
      <c r="C20" s="3"/>
      <c r="D20" s="311"/>
      <c r="E20" s="311"/>
      <c r="F20" s="320"/>
      <c r="G20" s="321"/>
      <c r="H20" s="322"/>
      <c r="J20" s="338"/>
      <c r="K20" s="338"/>
    </row>
    <row r="21" spans="1:15" ht="56.25" customHeight="1" x14ac:dyDescent="0.25">
      <c r="A21" s="1198" t="s">
        <v>356</v>
      </c>
      <c r="B21" s="1199"/>
      <c r="C21" s="339"/>
      <c r="D21" s="339"/>
      <c r="E21" s="339"/>
    </row>
    <row r="22" spans="1:15" ht="15.75" thickBot="1" x14ac:dyDescent="0.3"/>
    <row r="23" spans="1:15" s="62" customFormat="1" ht="50.25" thickBot="1" x14ac:dyDescent="0.4">
      <c r="A23" s="343" t="s">
        <v>77</v>
      </c>
      <c r="B23" s="343" t="s">
        <v>357</v>
      </c>
    </row>
    <row r="24" spans="1:15" s="62" customFormat="1" ht="18" x14ac:dyDescent="0.35">
      <c r="A24" s="344" t="s">
        <v>13</v>
      </c>
      <c r="B24" s="345">
        <v>160</v>
      </c>
    </row>
    <row r="25" spans="1:15" s="62" customFormat="1" ht="18" x14ac:dyDescent="0.35">
      <c r="A25" s="344" t="s">
        <v>79</v>
      </c>
      <c r="B25" s="346">
        <v>320</v>
      </c>
    </row>
    <row r="26" spans="1:15" s="62" customFormat="1" ht="18" x14ac:dyDescent="0.35">
      <c r="A26" s="347" t="s">
        <v>82</v>
      </c>
      <c r="B26" s="69">
        <v>540</v>
      </c>
    </row>
    <row r="27" spans="1:15" s="62" customFormat="1" ht="18.75" thickBot="1" x14ac:dyDescent="0.4">
      <c r="A27" s="348" t="s">
        <v>83</v>
      </c>
      <c r="B27" s="73">
        <v>760</v>
      </c>
    </row>
    <row r="28" spans="1:15" s="62" customFormat="1" ht="18" x14ac:dyDescent="0.35">
      <c r="H28" s="64"/>
      <c r="I28" s="64"/>
      <c r="J28" s="64"/>
      <c r="K28" s="3"/>
      <c r="L28" s="3"/>
    </row>
    <row r="29" spans="1:15" s="62" customFormat="1" ht="18" x14ac:dyDescent="0.35">
      <c r="A29" s="1200" t="s">
        <v>358</v>
      </c>
      <c r="B29" s="1200"/>
      <c r="C29" s="1200"/>
      <c r="D29" s="1200"/>
      <c r="E29" s="1200"/>
      <c r="F29" s="278"/>
      <c r="L29" s="20"/>
    </row>
    <row r="30" spans="1:15" s="20" customFormat="1" ht="18.75" x14ac:dyDescent="0.3">
      <c r="A30" s="1182" t="s">
        <v>85</v>
      </c>
      <c r="B30" s="1182"/>
      <c r="C30" s="1182"/>
      <c r="D30" s="1182"/>
      <c r="E30" s="1182"/>
      <c r="F30" s="1182"/>
      <c r="G30" s="1182"/>
      <c r="H30" s="1182"/>
      <c r="I30" s="1182"/>
      <c r="J30" s="1182"/>
      <c r="K30" s="213"/>
      <c r="O30" s="65"/>
    </row>
    <row r="31" spans="1:15" s="20" customFormat="1" ht="57" customHeight="1" x14ac:dyDescent="0.3">
      <c r="A31" s="1178" t="s">
        <v>95</v>
      </c>
      <c r="B31" s="1178"/>
      <c r="C31" s="1178"/>
      <c r="D31" s="1178"/>
      <c r="E31" s="1178"/>
      <c r="F31" s="1178"/>
      <c r="G31" s="1178"/>
      <c r="H31" s="1178"/>
      <c r="I31" s="1178"/>
      <c r="J31" s="1178"/>
      <c r="K31" s="214"/>
      <c r="O31" s="65"/>
    </row>
    <row r="32" spans="1:15" s="20" customFormat="1" ht="44.25" customHeight="1" x14ac:dyDescent="0.3">
      <c r="A32" s="1178" t="s">
        <v>96</v>
      </c>
      <c r="B32" s="1178"/>
      <c r="C32" s="1178"/>
      <c r="D32" s="1178"/>
      <c r="E32" s="1178"/>
      <c r="F32" s="1178"/>
      <c r="G32" s="1178"/>
      <c r="H32" s="1178"/>
      <c r="I32" s="1178"/>
      <c r="J32" s="1178"/>
      <c r="K32" s="214"/>
      <c r="O32" s="65"/>
    </row>
    <row r="33" spans="1:17" s="20" customFormat="1" ht="18" x14ac:dyDescent="0.3">
      <c r="A33" s="1178" t="s">
        <v>97</v>
      </c>
      <c r="B33" s="1178"/>
      <c r="C33" s="1178"/>
      <c r="D33" s="1178"/>
      <c r="E33" s="1178"/>
      <c r="F33" s="1178"/>
      <c r="G33" s="1178"/>
      <c r="H33" s="1178"/>
      <c r="I33" s="1178"/>
      <c r="J33" s="1178"/>
      <c r="K33" s="214"/>
      <c r="O33" s="65"/>
    </row>
    <row r="34" spans="1:17" s="20" customFormat="1" ht="61.5" customHeight="1" x14ac:dyDescent="0.3">
      <c r="A34" s="1178" t="s">
        <v>98</v>
      </c>
      <c r="B34" s="1178"/>
      <c r="C34" s="1178"/>
      <c r="D34" s="1178"/>
      <c r="E34" s="1178"/>
      <c r="F34" s="1178"/>
      <c r="G34" s="1178"/>
      <c r="H34" s="1178"/>
      <c r="I34" s="1178"/>
      <c r="J34" s="1178"/>
      <c r="K34" s="214"/>
      <c r="O34" s="65"/>
    </row>
    <row r="35" spans="1:17" s="20" customFormat="1" ht="18" x14ac:dyDescent="0.3">
      <c r="A35" s="1178" t="s">
        <v>274</v>
      </c>
      <c r="B35" s="1178"/>
      <c r="C35" s="1178"/>
      <c r="D35" s="1178"/>
      <c r="E35" s="1178"/>
      <c r="F35" s="1178"/>
      <c r="G35" s="1178"/>
      <c r="H35" s="1178"/>
      <c r="I35" s="1178"/>
      <c r="J35" s="1178"/>
      <c r="K35" s="214"/>
      <c r="O35" s="65"/>
    </row>
    <row r="36" spans="1:17" s="20" customFormat="1" ht="42" customHeight="1" x14ac:dyDescent="0.3">
      <c r="A36" s="1178" t="s">
        <v>101</v>
      </c>
      <c r="B36" s="1178"/>
      <c r="C36" s="1178"/>
      <c r="D36" s="1178"/>
      <c r="E36" s="1178"/>
      <c r="F36" s="1178"/>
      <c r="G36" s="1178"/>
      <c r="H36" s="1178"/>
      <c r="I36" s="1178"/>
      <c r="J36" s="1178"/>
      <c r="K36" s="214"/>
      <c r="O36" s="65"/>
    </row>
    <row r="37" spans="1:17" s="20" customFormat="1" ht="54" customHeight="1" x14ac:dyDescent="0.3">
      <c r="A37" s="1178" t="s">
        <v>359</v>
      </c>
      <c r="B37" s="1178"/>
      <c r="C37" s="1178"/>
      <c r="D37" s="1178"/>
      <c r="E37" s="1178"/>
      <c r="F37" s="1178"/>
      <c r="G37" s="1178"/>
      <c r="H37" s="1178"/>
      <c r="I37" s="1178"/>
      <c r="J37" s="1178"/>
      <c r="K37" s="214"/>
      <c r="O37" s="65"/>
    </row>
    <row r="38" spans="1:17" s="20" customFormat="1" ht="18" x14ac:dyDescent="0.3">
      <c r="A38" s="349"/>
      <c r="B38" s="215"/>
      <c r="C38" s="215"/>
      <c r="D38" s="215"/>
      <c r="E38" s="215"/>
      <c r="F38" s="215"/>
      <c r="G38" s="215"/>
      <c r="H38" s="215"/>
      <c r="I38" s="215"/>
      <c r="J38" s="215"/>
      <c r="K38" s="215"/>
      <c r="L38" s="215"/>
      <c r="O38" s="65"/>
    </row>
    <row r="39" spans="1:17" s="20" customFormat="1" ht="18.75" x14ac:dyDescent="0.35">
      <c r="A39" s="1179" t="s">
        <v>86</v>
      </c>
      <c r="B39" s="1180"/>
      <c r="C39" s="1180"/>
      <c r="D39" s="1180"/>
      <c r="E39" s="1181"/>
      <c r="F39" s="63"/>
      <c r="G39" s="63"/>
      <c r="H39" s="64"/>
      <c r="I39" s="64"/>
      <c r="J39" s="64"/>
      <c r="K39" s="3"/>
      <c r="L39" s="3"/>
      <c r="O39" s="65"/>
    </row>
    <row r="40" spans="1:17" s="20" customFormat="1" ht="90.75" customHeight="1" x14ac:dyDescent="0.35">
      <c r="A40" s="1177" t="s">
        <v>360</v>
      </c>
      <c r="B40" s="1177"/>
      <c r="C40" s="1177"/>
      <c r="D40" s="1177"/>
      <c r="E40" s="1177"/>
      <c r="F40" s="63"/>
      <c r="G40" s="63"/>
      <c r="H40" s="64"/>
      <c r="I40" s="64"/>
      <c r="J40" s="64"/>
      <c r="K40" s="3"/>
      <c r="L40" s="3"/>
      <c r="O40" s="65"/>
    </row>
    <row r="41" spans="1:17" s="20" customFormat="1" ht="42.75" customHeight="1" x14ac:dyDescent="0.35">
      <c r="A41" s="1177" t="s">
        <v>89</v>
      </c>
      <c r="B41" s="1177"/>
      <c r="C41" s="1177"/>
      <c r="D41" s="1177"/>
      <c r="E41" s="1177"/>
      <c r="F41" s="63"/>
      <c r="G41" s="63"/>
      <c r="H41" s="64"/>
      <c r="I41" s="64"/>
      <c r="J41" s="64"/>
      <c r="K41" s="3"/>
      <c r="L41" s="3"/>
      <c r="Q41" s="65"/>
    </row>
    <row r="42" spans="1:17" s="20" customFormat="1" ht="18" x14ac:dyDescent="0.35">
      <c r="A42" s="1177" t="s">
        <v>90</v>
      </c>
      <c r="B42" s="1177"/>
      <c r="C42" s="1177"/>
      <c r="D42" s="1177"/>
      <c r="E42" s="1177"/>
      <c r="F42" s="63"/>
      <c r="G42" s="63"/>
      <c r="H42" s="64"/>
      <c r="I42" s="64"/>
      <c r="J42" s="64"/>
      <c r="K42" s="3"/>
      <c r="L42" s="3"/>
      <c r="Q42" s="65"/>
    </row>
    <row r="43" spans="1:17" s="20" customFormat="1" ht="18" x14ac:dyDescent="0.3">
      <c r="A43" s="1177" t="s">
        <v>278</v>
      </c>
      <c r="B43" s="1177"/>
      <c r="C43" s="1177"/>
      <c r="D43" s="1177"/>
      <c r="E43" s="1177"/>
      <c r="F43" s="3"/>
      <c r="G43" s="3"/>
      <c r="H43" s="3"/>
      <c r="I43" s="64"/>
      <c r="J43" s="64"/>
      <c r="K43" s="3"/>
      <c r="L43" s="3"/>
      <c r="Q43" s="65"/>
    </row>
    <row r="44" spans="1:17" ht="99" customHeight="1" x14ac:dyDescent="0.25"/>
  </sheetData>
  <mergeCells count="37">
    <mergeCell ref="A1:K1"/>
    <mergeCell ref="A2:A3"/>
    <mergeCell ref="B2:B3"/>
    <mergeCell ref="C2:D2"/>
    <mergeCell ref="E2:E3"/>
    <mergeCell ref="F2:F3"/>
    <mergeCell ref="G2:G3"/>
    <mergeCell ref="H2:H3"/>
    <mergeCell ref="I2:I3"/>
    <mergeCell ref="A30:J30"/>
    <mergeCell ref="J2:J3"/>
    <mergeCell ref="K2:K3"/>
    <mergeCell ref="A16:A17"/>
    <mergeCell ref="B16:B17"/>
    <mergeCell ref="C16:D16"/>
    <mergeCell ref="E16:E17"/>
    <mergeCell ref="F16:F17"/>
    <mergeCell ref="G16:G17"/>
    <mergeCell ref="H16:H17"/>
    <mergeCell ref="I16:I17"/>
    <mergeCell ref="J16:J17"/>
    <mergeCell ref="K16:K17"/>
    <mergeCell ref="K18:K19"/>
    <mergeCell ref="A21:B21"/>
    <mergeCell ref="A29:E29"/>
    <mergeCell ref="A43:E43"/>
    <mergeCell ref="A31:J31"/>
    <mergeCell ref="A32:J32"/>
    <mergeCell ref="A33:J33"/>
    <mergeCell ref="A34:J34"/>
    <mergeCell ref="A35:J35"/>
    <mergeCell ref="A36:J36"/>
    <mergeCell ref="A37:J37"/>
    <mergeCell ref="A39:E39"/>
    <mergeCell ref="A40:E40"/>
    <mergeCell ref="A41:E41"/>
    <mergeCell ref="A42:E42"/>
  </mergeCells>
  <pageMargins left="0.7" right="0.7" top="0.75" bottom="0.75" header="0.3" footer="0.3"/>
  <pageSetup paperSize="9" scale="56"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71DBE-90E9-4DA0-AAA0-D5597D7C013C}">
  <dimension ref="A1:J28"/>
  <sheetViews>
    <sheetView workbookViewId="0">
      <selection activeCell="A8" sqref="A8"/>
    </sheetView>
  </sheetViews>
  <sheetFormatPr defaultRowHeight="19.5" x14ac:dyDescent="0.35"/>
  <cols>
    <col min="1" max="1" width="63.85546875" customWidth="1"/>
    <col min="2" max="2" width="8.85546875" customWidth="1"/>
    <col min="3" max="3" width="10.7109375" customWidth="1"/>
    <col min="4" max="4" width="10.7109375" style="62" customWidth="1"/>
    <col min="5" max="5" width="18.85546875" customWidth="1"/>
    <col min="6" max="6" width="18.28515625" customWidth="1"/>
    <col min="7" max="7" width="18.28515625" style="450" customWidth="1"/>
    <col min="8" max="8" width="18.140625" customWidth="1"/>
    <col min="9" max="9" width="16.7109375" customWidth="1"/>
    <col min="10" max="10" width="16.5703125" customWidth="1"/>
  </cols>
  <sheetData>
    <row r="1" spans="1:10" ht="17.25" thickBot="1" x14ac:dyDescent="0.3">
      <c r="A1" s="1435" t="s">
        <v>463</v>
      </c>
      <c r="B1" s="1436"/>
      <c r="C1" s="1436"/>
      <c r="D1" s="1436"/>
      <c r="E1" s="1436"/>
      <c r="F1" s="1436"/>
      <c r="G1" s="1436"/>
      <c r="H1" s="1437"/>
    </row>
    <row r="2" spans="1:10" ht="57" thickBot="1" x14ac:dyDescent="0.3">
      <c r="A2" s="984" t="s">
        <v>464</v>
      </c>
      <c r="B2" s="985" t="s">
        <v>155</v>
      </c>
      <c r="C2" s="985" t="s">
        <v>465</v>
      </c>
      <c r="D2" s="986" t="s">
        <v>155</v>
      </c>
      <c r="E2" s="987" t="s">
        <v>466</v>
      </c>
      <c r="F2" s="988" t="s">
        <v>467</v>
      </c>
      <c r="G2" s="989" t="s">
        <v>468</v>
      </c>
      <c r="H2" s="990" t="s">
        <v>469</v>
      </c>
      <c r="I2" s="438"/>
      <c r="J2" s="438"/>
    </row>
    <row r="3" spans="1:10" ht="18.75" x14ac:dyDescent="0.25">
      <c r="A3" s="439" t="s">
        <v>470</v>
      </c>
      <c r="B3" s="440" t="s">
        <v>471</v>
      </c>
      <c r="C3" s="143">
        <v>1</v>
      </c>
      <c r="D3" s="441">
        <f>1500*0.9*0.7*0.95*0.6</f>
        <v>538.64999999999986</v>
      </c>
      <c r="E3" s="442"/>
      <c r="F3" s="991">
        <f>400+120*1+150+E3-D3</f>
        <v>131.35000000000014</v>
      </c>
      <c r="G3" s="443">
        <f>F3*1.24</f>
        <v>162.87400000000017</v>
      </c>
      <c r="H3" s="928"/>
    </row>
    <row r="4" spans="1:10" ht="18.75" x14ac:dyDescent="0.25">
      <c r="A4" s="32" t="s">
        <v>472</v>
      </c>
      <c r="B4" s="444" t="s">
        <v>473</v>
      </c>
      <c r="C4" s="154">
        <v>1</v>
      </c>
      <c r="D4" s="437">
        <f>4700*0.9*0.7*0.95*0.6</f>
        <v>1687.7699999999998</v>
      </c>
      <c r="E4" s="255"/>
      <c r="F4" s="991">
        <f>400+120*2+150+E4-D4</f>
        <v>-897.76999999999975</v>
      </c>
      <c r="G4" s="443">
        <f t="shared" ref="G4:G25" si="0">F4*1.24</f>
        <v>-1113.2347999999997</v>
      </c>
      <c r="H4" s="925"/>
    </row>
    <row r="5" spans="1:10" ht="18.75" x14ac:dyDescent="0.25">
      <c r="A5" s="32" t="s">
        <v>474</v>
      </c>
      <c r="B5" s="444" t="s">
        <v>475</v>
      </c>
      <c r="C5" s="154">
        <v>1</v>
      </c>
      <c r="D5" s="437">
        <f>6300*0.9*0.7*0.95*0.6</f>
        <v>2262.3299999999995</v>
      </c>
      <c r="E5" s="255"/>
      <c r="F5" s="991">
        <f>400+120*2+150+E5-D5</f>
        <v>-1472.3299999999995</v>
      </c>
      <c r="G5" s="443">
        <f t="shared" si="0"/>
        <v>-1825.6891999999993</v>
      </c>
      <c r="H5" s="925"/>
    </row>
    <row r="6" spans="1:10" ht="36" x14ac:dyDescent="0.25">
      <c r="A6" s="32" t="s">
        <v>476</v>
      </c>
      <c r="B6" s="444" t="s">
        <v>477</v>
      </c>
      <c r="C6" s="154">
        <v>1</v>
      </c>
      <c r="D6" s="437">
        <f>8200*0.9*0.7*0.95*0.6</f>
        <v>2944.62</v>
      </c>
      <c r="E6" s="255"/>
      <c r="F6" s="991">
        <f>400+120*3+150+E6-D6</f>
        <v>-2034.62</v>
      </c>
      <c r="G6" s="443">
        <f t="shared" si="0"/>
        <v>-2522.9287999999997</v>
      </c>
      <c r="H6" s="925"/>
    </row>
    <row r="7" spans="1:10" ht="36" x14ac:dyDescent="0.35">
      <c r="A7" s="32" t="s">
        <v>478</v>
      </c>
      <c r="B7" s="444" t="s">
        <v>479</v>
      </c>
      <c r="C7" s="154">
        <v>1</v>
      </c>
      <c r="D7" s="62">
        <f>9500*0.9*0.7*0.95*0.6</f>
        <v>3411.45</v>
      </c>
      <c r="F7" s="991">
        <f>400+120*3+150+E7-D7</f>
        <v>-2501.4499999999998</v>
      </c>
      <c r="G7" s="443">
        <f t="shared" si="0"/>
        <v>-3101.7979999999998</v>
      </c>
      <c r="H7" s="925"/>
    </row>
    <row r="8" spans="1:10" ht="18.75" x14ac:dyDescent="0.25">
      <c r="A8" s="32" t="s">
        <v>480</v>
      </c>
      <c r="B8" s="444" t="s">
        <v>479</v>
      </c>
      <c r="C8" s="154"/>
      <c r="D8" s="437">
        <v>3411.45</v>
      </c>
      <c r="E8" s="255"/>
      <c r="F8" s="991">
        <f>400+120*3+150+E8-D8</f>
        <v>-2501.4499999999998</v>
      </c>
      <c r="G8" s="443">
        <f t="shared" si="0"/>
        <v>-3101.7979999999998</v>
      </c>
      <c r="H8" s="925"/>
    </row>
    <row r="9" spans="1:10" ht="18.75" x14ac:dyDescent="0.25">
      <c r="A9" s="32"/>
      <c r="B9" s="444"/>
      <c r="C9" s="154"/>
      <c r="D9" s="437"/>
      <c r="E9" s="255"/>
      <c r="F9" s="991"/>
      <c r="G9" s="443"/>
      <c r="H9" s="925"/>
    </row>
    <row r="10" spans="1:10" ht="18.75" x14ac:dyDescent="0.25">
      <c r="A10" s="929" t="s">
        <v>481</v>
      </c>
      <c r="B10" s="445" t="s">
        <v>482</v>
      </c>
      <c r="C10" s="154">
        <v>1</v>
      </c>
      <c r="D10" s="437">
        <f>11291*0.9*0.7*0.95*0.6</f>
        <v>4054.5980999999992</v>
      </c>
      <c r="E10" s="255">
        <v>4400</v>
      </c>
      <c r="F10" s="991">
        <f>400+120*2+150+(E10*1.1)-D10</f>
        <v>1575.4019000000008</v>
      </c>
      <c r="G10" s="443">
        <f t="shared" si="0"/>
        <v>1953.498356000001</v>
      </c>
      <c r="H10" s="925" t="s">
        <v>483</v>
      </c>
    </row>
    <row r="11" spans="1:10" ht="18.75" x14ac:dyDescent="0.25">
      <c r="A11" s="929" t="s">
        <v>484</v>
      </c>
      <c r="B11" s="445" t="s">
        <v>482</v>
      </c>
      <c r="C11" s="154">
        <v>1</v>
      </c>
      <c r="D11" s="437">
        <f>11291*0.9*0.7*0.95*0.6</f>
        <v>4054.5980999999992</v>
      </c>
      <c r="E11" s="255">
        <v>4000</v>
      </c>
      <c r="F11" s="991">
        <f t="shared" ref="F11:F16" si="1">400+120*1+150+(E11*1.1)-D11</f>
        <v>1015.4019000000008</v>
      </c>
      <c r="G11" s="443">
        <f t="shared" si="0"/>
        <v>1259.0983560000009</v>
      </c>
      <c r="H11" s="925" t="s">
        <v>483</v>
      </c>
    </row>
    <row r="12" spans="1:10" ht="18.75" x14ac:dyDescent="0.25">
      <c r="A12" s="929" t="s">
        <v>485</v>
      </c>
      <c r="B12" s="445" t="s">
        <v>482</v>
      </c>
      <c r="C12" s="154">
        <v>1</v>
      </c>
      <c r="D12" s="437">
        <f>11291*0.9*0.7*0.95*0.6</f>
        <v>4054.5980999999992</v>
      </c>
      <c r="E12" s="255">
        <v>4500</v>
      </c>
      <c r="F12" s="991">
        <f>400+120*2+150+(E12*1.1)-D12</f>
        <v>1685.4019000000008</v>
      </c>
      <c r="G12" s="443">
        <f t="shared" si="0"/>
        <v>2089.8983560000011</v>
      </c>
      <c r="H12" s="925" t="s">
        <v>486</v>
      </c>
    </row>
    <row r="13" spans="1:10" ht="18.75" x14ac:dyDescent="0.25">
      <c r="A13" s="929" t="s">
        <v>487</v>
      </c>
      <c r="B13" s="445" t="s">
        <v>482</v>
      </c>
      <c r="C13" s="154">
        <v>1</v>
      </c>
      <c r="D13" s="437">
        <f>11291*0.9*0.7*0.95*0.6</f>
        <v>4054.5980999999992</v>
      </c>
      <c r="E13" s="255">
        <v>4400</v>
      </c>
      <c r="F13" s="991">
        <f t="shared" si="1"/>
        <v>1455.4019000000008</v>
      </c>
      <c r="G13" s="443">
        <f t="shared" si="0"/>
        <v>1804.698356000001</v>
      </c>
      <c r="H13" s="925" t="s">
        <v>486</v>
      </c>
    </row>
    <row r="14" spans="1:10" ht="18.75" x14ac:dyDescent="0.25">
      <c r="A14" s="929" t="s">
        <v>488</v>
      </c>
      <c r="B14" s="445" t="s">
        <v>489</v>
      </c>
      <c r="C14" s="154">
        <v>1</v>
      </c>
      <c r="D14" s="437">
        <f>14500*0.9*0.7*0.95*0.6</f>
        <v>5206.95</v>
      </c>
      <c r="E14" s="255">
        <v>6500</v>
      </c>
      <c r="F14" s="991">
        <f>400+120*2+150+(E14*1.1)-D14</f>
        <v>2733.0500000000011</v>
      </c>
      <c r="G14" s="443">
        <f t="shared" si="0"/>
        <v>3388.9820000000013</v>
      </c>
      <c r="H14" s="925" t="s">
        <v>490</v>
      </c>
    </row>
    <row r="15" spans="1:10" ht="18.75" x14ac:dyDescent="0.25">
      <c r="A15" s="929" t="s">
        <v>491</v>
      </c>
      <c r="B15" s="445" t="s">
        <v>489</v>
      </c>
      <c r="C15" s="154">
        <v>1</v>
      </c>
      <c r="D15" s="437">
        <f>14500*0.9*0.7*0.95*0.6</f>
        <v>5206.95</v>
      </c>
      <c r="E15" s="255">
        <v>6500</v>
      </c>
      <c r="F15" s="991">
        <f>400+120*2+150+(E15*1.1)-D15</f>
        <v>2733.0500000000011</v>
      </c>
      <c r="G15" s="443">
        <f t="shared" si="0"/>
        <v>3388.9820000000013</v>
      </c>
      <c r="H15" s="925" t="s">
        <v>490</v>
      </c>
    </row>
    <row r="16" spans="1:10" ht="18.75" x14ac:dyDescent="0.25">
      <c r="A16" s="929" t="s">
        <v>492</v>
      </c>
      <c r="B16" s="445" t="s">
        <v>493</v>
      </c>
      <c r="C16" s="154">
        <v>1</v>
      </c>
      <c r="D16" s="437">
        <f>14500*0.9*0.7*0.95*0.6</f>
        <v>5206.95</v>
      </c>
      <c r="E16" s="255">
        <v>6000</v>
      </c>
      <c r="F16" s="991">
        <f t="shared" si="1"/>
        <v>2063.0500000000011</v>
      </c>
      <c r="G16" s="443">
        <f t="shared" si="0"/>
        <v>2558.1820000000012</v>
      </c>
      <c r="H16" s="925" t="s">
        <v>490</v>
      </c>
    </row>
    <row r="17" spans="1:8" ht="18.75" x14ac:dyDescent="0.25">
      <c r="A17" s="930"/>
      <c r="B17" s="445"/>
      <c r="C17" s="154"/>
      <c r="D17" s="437"/>
      <c r="E17" s="255"/>
      <c r="F17" s="991"/>
      <c r="G17" s="443"/>
      <c r="H17" s="925"/>
    </row>
    <row r="18" spans="1:8" ht="36" x14ac:dyDescent="0.25">
      <c r="A18" s="446" t="s">
        <v>494</v>
      </c>
      <c r="B18" s="445" t="s">
        <v>495</v>
      </c>
      <c r="C18" s="154">
        <v>1</v>
      </c>
      <c r="D18" s="437">
        <f>2831*0.9*0.7*0.95*0.62</f>
        <v>1050.49917</v>
      </c>
      <c r="E18" s="255">
        <v>1100</v>
      </c>
      <c r="F18" s="991">
        <f>400+120*1+150+(E18*1.1)-D18</f>
        <v>829.50082999999995</v>
      </c>
      <c r="G18" s="443">
        <f t="shared" si="0"/>
        <v>1028.5810291999999</v>
      </c>
      <c r="H18" s="926" t="s">
        <v>496</v>
      </c>
    </row>
    <row r="19" spans="1:8" ht="18.75" x14ac:dyDescent="0.25">
      <c r="A19" s="446" t="s">
        <v>497</v>
      </c>
      <c r="B19" s="445" t="s">
        <v>498</v>
      </c>
      <c r="C19" s="154">
        <v>1</v>
      </c>
      <c r="D19" s="437">
        <f>2227*0.9*0.7*0.95*0.6</f>
        <v>799.71569999999997</v>
      </c>
      <c r="E19" s="255">
        <v>1000</v>
      </c>
      <c r="F19" s="991">
        <f t="shared" ref="F19:F25" si="2">400+120*1+150+(E19*1.1)-D19</f>
        <v>970.28430000000003</v>
      </c>
      <c r="G19" s="443">
        <f t="shared" si="0"/>
        <v>1203.1525320000001</v>
      </c>
      <c r="H19" s="925" t="s">
        <v>496</v>
      </c>
    </row>
    <row r="20" spans="1:8" ht="18.75" x14ac:dyDescent="0.25">
      <c r="A20" s="446" t="s">
        <v>499</v>
      </c>
      <c r="B20" s="445" t="s">
        <v>500</v>
      </c>
      <c r="C20" s="154">
        <v>1</v>
      </c>
      <c r="D20" s="437">
        <f>D18</f>
        <v>1050.49917</v>
      </c>
      <c r="E20" s="255">
        <v>1190</v>
      </c>
      <c r="F20" s="991">
        <f>400+120*1.5+150+(E20*1.1)-D20</f>
        <v>988.50082999999995</v>
      </c>
      <c r="G20" s="443">
        <f t="shared" si="0"/>
        <v>1225.7410292</v>
      </c>
      <c r="H20" s="925" t="s">
        <v>501</v>
      </c>
    </row>
    <row r="21" spans="1:8" ht="18.75" x14ac:dyDescent="0.25">
      <c r="A21" s="446" t="s">
        <v>502</v>
      </c>
      <c r="B21" s="445" t="s">
        <v>498</v>
      </c>
      <c r="C21" s="154">
        <v>1</v>
      </c>
      <c r="D21" s="437">
        <f>D19</f>
        <v>799.71569999999997</v>
      </c>
      <c r="E21" s="255">
        <v>1000</v>
      </c>
      <c r="F21" s="991">
        <f t="shared" si="2"/>
        <v>970.28430000000003</v>
      </c>
      <c r="G21" s="443">
        <f t="shared" si="0"/>
        <v>1203.1525320000001</v>
      </c>
      <c r="H21" s="925" t="s">
        <v>501</v>
      </c>
    </row>
    <row r="22" spans="1:8" ht="18.75" x14ac:dyDescent="0.25">
      <c r="A22" s="446" t="s">
        <v>503</v>
      </c>
      <c r="B22" s="444" t="s">
        <v>504</v>
      </c>
      <c r="C22" s="17">
        <v>1</v>
      </c>
      <c r="D22" s="447">
        <f>4500*0.9*0.7*0.95*0.6</f>
        <v>1615.95</v>
      </c>
      <c r="E22" s="448">
        <v>2600</v>
      </c>
      <c r="F22" s="991">
        <f>400+120*2+150+(E22*1.1)-D22</f>
        <v>2034.0500000000004</v>
      </c>
      <c r="G22" s="443">
        <f t="shared" si="0"/>
        <v>2522.2220000000007</v>
      </c>
      <c r="H22" s="927" t="s">
        <v>505</v>
      </c>
    </row>
    <row r="23" spans="1:8" ht="18.75" x14ac:dyDescent="0.25">
      <c r="A23" s="446" t="s">
        <v>506</v>
      </c>
      <c r="B23" s="444" t="s">
        <v>504</v>
      </c>
      <c r="C23" s="17">
        <v>1</v>
      </c>
      <c r="D23" s="447">
        <f>D22</f>
        <v>1615.95</v>
      </c>
      <c r="E23" s="448">
        <v>2600</v>
      </c>
      <c r="F23" s="991">
        <f>400+120*2+150+(E23*1.1)-D23</f>
        <v>2034.0500000000004</v>
      </c>
      <c r="G23" s="443">
        <f t="shared" si="0"/>
        <v>2522.2220000000007</v>
      </c>
      <c r="H23" s="927" t="s">
        <v>505</v>
      </c>
    </row>
    <row r="24" spans="1:8" ht="18.75" x14ac:dyDescent="0.25">
      <c r="A24" s="446" t="s">
        <v>507</v>
      </c>
      <c r="B24" s="444" t="s">
        <v>508</v>
      </c>
      <c r="C24" s="17">
        <v>1</v>
      </c>
      <c r="D24" s="447">
        <f>D23</f>
        <v>1615.95</v>
      </c>
      <c r="E24" s="448">
        <v>2400</v>
      </c>
      <c r="F24" s="991">
        <f t="shared" si="2"/>
        <v>1694.05</v>
      </c>
      <c r="G24" s="443">
        <f t="shared" si="0"/>
        <v>2100.6219999999998</v>
      </c>
      <c r="H24" s="927" t="s">
        <v>505</v>
      </c>
    </row>
    <row r="25" spans="1:8" ht="18.75" x14ac:dyDescent="0.25">
      <c r="A25" s="446" t="s">
        <v>509</v>
      </c>
      <c r="B25" s="444" t="s">
        <v>508</v>
      </c>
      <c r="C25" s="17">
        <v>1</v>
      </c>
      <c r="D25" s="447">
        <f>D24</f>
        <v>1615.95</v>
      </c>
      <c r="E25" s="448">
        <v>2400</v>
      </c>
      <c r="F25" s="991">
        <f t="shared" si="2"/>
        <v>1694.05</v>
      </c>
      <c r="G25" s="443">
        <f t="shared" si="0"/>
        <v>2100.6219999999998</v>
      </c>
      <c r="H25" s="927" t="s">
        <v>505</v>
      </c>
    </row>
    <row r="27" spans="1:8" x14ac:dyDescent="0.35">
      <c r="A27" s="449" t="s">
        <v>510</v>
      </c>
    </row>
    <row r="28" spans="1:8" x14ac:dyDescent="0.35">
      <c r="A28" s="451" t="s">
        <v>511</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184F1-0BAC-48F8-890C-F4278119BD82}">
  <sheetPr>
    <pageSetUpPr fitToPage="1"/>
  </sheetPr>
  <dimension ref="A1:G18"/>
  <sheetViews>
    <sheetView workbookViewId="0">
      <selection activeCell="A31" sqref="A31"/>
    </sheetView>
  </sheetViews>
  <sheetFormatPr defaultColWidth="9.140625" defaultRowHeight="16.5" x14ac:dyDescent="0.3"/>
  <cols>
    <col min="1" max="1" width="87" style="20" customWidth="1"/>
    <col min="2" max="2" width="13.85546875" style="20" customWidth="1"/>
    <col min="3" max="3" width="13.28515625" style="20" customWidth="1"/>
    <col min="4" max="4" width="21.140625" style="20" customWidth="1"/>
    <col min="5" max="5" width="11.85546875" style="20" customWidth="1"/>
    <col min="6" max="6" width="12.28515625" style="20" bestFit="1" customWidth="1"/>
    <col min="7" max="7" width="31" style="20" customWidth="1"/>
    <col min="8" max="8" width="18.5703125" style="20" customWidth="1"/>
    <col min="9" max="9" width="70.5703125" style="20" bestFit="1" customWidth="1"/>
    <col min="10" max="16384" width="9.140625" style="20"/>
  </cols>
  <sheetData>
    <row r="1" spans="1:7" ht="18.75" thickBot="1" x14ac:dyDescent="0.35">
      <c r="A1" s="1438" t="s">
        <v>512</v>
      </c>
      <c r="B1" s="1439"/>
      <c r="C1" s="1439"/>
      <c r="D1" s="1439"/>
      <c r="E1" s="1439"/>
      <c r="F1" s="1440"/>
    </row>
    <row r="2" spans="1:7" ht="36.75" thickBot="1" x14ac:dyDescent="0.35">
      <c r="A2" s="452" t="s">
        <v>2</v>
      </c>
      <c r="B2" s="453" t="s">
        <v>5</v>
      </c>
      <c r="C2" s="454" t="s">
        <v>109</v>
      </c>
      <c r="D2" s="455" t="s">
        <v>108</v>
      </c>
      <c r="E2" s="453" t="s">
        <v>513</v>
      </c>
      <c r="F2" s="456" t="s">
        <v>514</v>
      </c>
      <c r="G2" s="457" t="s">
        <v>515</v>
      </c>
    </row>
    <row r="3" spans="1:7" x14ac:dyDescent="0.3">
      <c r="A3" s="1441" t="s">
        <v>516</v>
      </c>
      <c r="B3" s="1443">
        <v>1</v>
      </c>
      <c r="C3" s="1073"/>
      <c r="D3" s="458">
        <v>3145</v>
      </c>
      <c r="E3" s="1445" t="s">
        <v>517</v>
      </c>
      <c r="F3" s="459" t="s">
        <v>518</v>
      </c>
      <c r="G3" s="20" t="s">
        <v>519</v>
      </c>
    </row>
    <row r="4" spans="1:7" x14ac:dyDescent="0.3">
      <c r="A4" s="1442"/>
      <c r="B4" s="1444"/>
      <c r="C4" s="608"/>
      <c r="D4" s="458"/>
      <c r="E4" s="1446"/>
      <c r="F4" s="145" t="s">
        <v>520</v>
      </c>
      <c r="G4" s="20" t="s">
        <v>519</v>
      </c>
    </row>
    <row r="5" spans="1:7" x14ac:dyDescent="0.3">
      <c r="A5" s="1447" t="s">
        <v>521</v>
      </c>
      <c r="B5" s="371">
        <v>1</v>
      </c>
      <c r="C5" s="608"/>
      <c r="D5" s="458">
        <v>2390</v>
      </c>
      <c r="E5" s="1448" t="s">
        <v>517</v>
      </c>
      <c r="F5" s="151" t="s">
        <v>518</v>
      </c>
      <c r="G5" s="20" t="s">
        <v>519</v>
      </c>
    </row>
    <row r="6" spans="1:7" x14ac:dyDescent="0.3">
      <c r="A6" s="1442"/>
      <c r="B6" s="371"/>
      <c r="C6" s="608"/>
      <c r="D6" s="458"/>
      <c r="E6" s="1446"/>
      <c r="F6" s="151" t="s">
        <v>520</v>
      </c>
      <c r="G6" s="20" t="s">
        <v>519</v>
      </c>
    </row>
    <row r="7" spans="1:7" x14ac:dyDescent="0.3">
      <c r="A7" s="460" t="s">
        <v>522</v>
      </c>
      <c r="B7" s="371">
        <v>2</v>
      </c>
      <c r="C7" s="1072"/>
      <c r="D7" s="458">
        <f>(400*2+340+160+1070)*1.24</f>
        <v>2938.8</v>
      </c>
      <c r="E7" s="53" t="s">
        <v>517</v>
      </c>
      <c r="F7" s="151" t="s">
        <v>518</v>
      </c>
      <c r="G7" s="20" t="s">
        <v>519</v>
      </c>
    </row>
    <row r="8" spans="1:7" x14ac:dyDescent="0.3">
      <c r="A8" s="460" t="s">
        <v>523</v>
      </c>
      <c r="B8" s="371">
        <v>1</v>
      </c>
      <c r="C8" s="1072"/>
      <c r="D8" s="458">
        <f>(170+400+190)*1.24</f>
        <v>942.4</v>
      </c>
      <c r="E8" s="53"/>
      <c r="F8" s="151" t="s">
        <v>518</v>
      </c>
      <c r="G8" s="20" t="s">
        <v>1219</v>
      </c>
    </row>
    <row r="9" spans="1:7" x14ac:dyDescent="0.3">
      <c r="A9" s="460" t="s">
        <v>523</v>
      </c>
      <c r="B9" s="371">
        <v>1</v>
      </c>
      <c r="C9" s="1072"/>
      <c r="D9" s="458">
        <v>942</v>
      </c>
      <c r="E9" s="53"/>
      <c r="F9" s="151" t="s">
        <v>520</v>
      </c>
      <c r="G9" s="20" t="s">
        <v>8</v>
      </c>
    </row>
    <row r="10" spans="1:7" x14ac:dyDescent="0.3">
      <c r="A10" s="460" t="s">
        <v>524</v>
      </c>
      <c r="B10" s="371">
        <v>1</v>
      </c>
      <c r="C10" s="1072"/>
      <c r="D10" s="458">
        <v>1050</v>
      </c>
      <c r="E10" s="53"/>
      <c r="F10" s="151" t="s">
        <v>518</v>
      </c>
      <c r="G10" s="20" t="s">
        <v>1219</v>
      </c>
    </row>
    <row r="11" spans="1:7" x14ac:dyDescent="0.3">
      <c r="A11" s="460" t="s">
        <v>525</v>
      </c>
      <c r="B11" s="371">
        <v>1</v>
      </c>
      <c r="C11" s="1072"/>
      <c r="D11" s="458">
        <v>3746</v>
      </c>
      <c r="E11" s="53" t="s">
        <v>517</v>
      </c>
      <c r="F11" s="151" t="s">
        <v>518</v>
      </c>
    </row>
    <row r="12" spans="1:7" x14ac:dyDescent="0.3">
      <c r="A12" s="460" t="s">
        <v>525</v>
      </c>
      <c r="B12" s="371">
        <v>1</v>
      </c>
      <c r="C12" s="1072"/>
      <c r="D12" s="458">
        <f>D11</f>
        <v>3746</v>
      </c>
      <c r="E12" s="53" t="s">
        <v>517</v>
      </c>
      <c r="F12" s="151" t="s">
        <v>520</v>
      </c>
    </row>
    <row r="13" spans="1:7" x14ac:dyDescent="0.3">
      <c r="A13" s="460" t="s">
        <v>526</v>
      </c>
      <c r="B13" s="371">
        <v>1</v>
      </c>
      <c r="C13" s="1072"/>
      <c r="D13" s="458">
        <v>1100</v>
      </c>
      <c r="E13" s="53"/>
      <c r="F13" s="151"/>
      <c r="G13" s="20" t="s">
        <v>8</v>
      </c>
    </row>
    <row r="16" spans="1:7" x14ac:dyDescent="0.3">
      <c r="A16" s="461" t="s">
        <v>527</v>
      </c>
    </row>
    <row r="17" spans="1:1" ht="17.25" thickBot="1" x14ac:dyDescent="0.35"/>
    <row r="18" spans="1:1" ht="17.25" thickBot="1" x14ac:dyDescent="0.35">
      <c r="A18" s="462">
        <v>46086</v>
      </c>
    </row>
  </sheetData>
  <mergeCells count="6">
    <mergeCell ref="A1:F1"/>
    <mergeCell ref="A3:A4"/>
    <mergeCell ref="B3:B4"/>
    <mergeCell ref="E3:E4"/>
    <mergeCell ref="A5:A6"/>
    <mergeCell ref="E5:E6"/>
  </mergeCells>
  <pageMargins left="0.7" right="0.7" top="0.75" bottom="0.75" header="0.3" footer="0.3"/>
  <pageSetup paperSize="9" scale="6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07A4-C0B0-4E0D-A942-4E67A926FBD0}">
  <dimension ref="A1:N39"/>
  <sheetViews>
    <sheetView workbookViewId="0">
      <selection activeCell="A7" sqref="A7"/>
    </sheetView>
  </sheetViews>
  <sheetFormatPr defaultRowHeight="15" x14ac:dyDescent="0.25"/>
  <cols>
    <col min="1" max="1" width="35.7109375" customWidth="1"/>
    <col min="2" max="2" width="19.7109375" customWidth="1"/>
    <col min="3" max="3" width="20.85546875" customWidth="1"/>
    <col min="4" max="4" width="25.28515625" customWidth="1"/>
    <col min="5" max="5" width="26.28515625" customWidth="1"/>
    <col min="6" max="6" width="30.7109375" customWidth="1"/>
    <col min="7" max="7" width="16.28515625" hidden="1" customWidth="1"/>
    <col min="8" max="8" width="24.85546875" hidden="1" customWidth="1"/>
    <col min="9" max="9" width="16.140625" hidden="1" customWidth="1"/>
    <col min="10" max="10" width="19.42578125" hidden="1" customWidth="1"/>
    <col min="11" max="11" width="21.140625" customWidth="1"/>
    <col min="12" max="14" width="9.5703125" bestFit="1" customWidth="1"/>
  </cols>
  <sheetData>
    <row r="1" spans="1:14" ht="56.25" x14ac:dyDescent="0.25">
      <c r="A1" s="463" t="s">
        <v>528</v>
      </c>
    </row>
    <row r="2" spans="1:14" ht="11.25" customHeight="1" x14ac:dyDescent="0.25">
      <c r="A2" s="464"/>
    </row>
    <row r="3" spans="1:14" hidden="1" x14ac:dyDescent="0.25">
      <c r="A3" s="464"/>
    </row>
    <row r="4" spans="1:14" ht="45.75" thickBot="1" x14ac:dyDescent="0.3">
      <c r="A4" s="465" t="s">
        <v>529</v>
      </c>
      <c r="G4" t="s">
        <v>530</v>
      </c>
      <c r="H4" t="s">
        <v>531</v>
      </c>
      <c r="I4" t="s">
        <v>532</v>
      </c>
      <c r="J4" t="s">
        <v>533</v>
      </c>
      <c r="K4" s="500" t="s">
        <v>534</v>
      </c>
    </row>
    <row r="5" spans="1:14" ht="15.75" thickBot="1" x14ac:dyDescent="0.3">
      <c r="A5" s="466" t="s">
        <v>464</v>
      </c>
      <c r="B5" s="467" t="s">
        <v>535</v>
      </c>
      <c r="C5" s="467" t="s">
        <v>536</v>
      </c>
      <c r="D5" s="468" t="s">
        <v>537</v>
      </c>
      <c r="E5" s="467" t="s">
        <v>538</v>
      </c>
      <c r="F5" s="468" t="s">
        <v>539</v>
      </c>
      <c r="G5" s="469"/>
      <c r="K5" s="501"/>
    </row>
    <row r="6" spans="1:14" ht="17.25" thickBot="1" x14ac:dyDescent="0.3">
      <c r="A6" s="470" t="s">
        <v>540</v>
      </c>
      <c r="B6" s="471">
        <v>353101</v>
      </c>
      <c r="C6" s="472">
        <v>1</v>
      </c>
      <c r="D6" s="473" t="s">
        <v>541</v>
      </c>
      <c r="E6" s="474">
        <v>250</v>
      </c>
      <c r="F6" s="475">
        <v>0.24</v>
      </c>
      <c r="G6" s="476">
        <f>E6*0.6</f>
        <v>150</v>
      </c>
      <c r="H6" s="476">
        <f>E6*0.9*0.95*0.62</f>
        <v>132.52500000000001</v>
      </c>
      <c r="I6" s="476">
        <f>G6-H6</f>
        <v>17.474999999999994</v>
      </c>
      <c r="K6" s="501"/>
    </row>
    <row r="7" spans="1:14" ht="24.75" thickBot="1" x14ac:dyDescent="0.3">
      <c r="A7" s="470" t="s">
        <v>542</v>
      </c>
      <c r="B7" s="471" t="s">
        <v>543</v>
      </c>
      <c r="C7" s="472">
        <v>1</v>
      </c>
      <c r="D7" s="477" t="s">
        <v>544</v>
      </c>
      <c r="E7" s="474">
        <v>1200</v>
      </c>
      <c r="F7" s="475">
        <v>0.13</v>
      </c>
      <c r="G7" s="476">
        <f t="shared" ref="G7:G31" si="0">E7*0.6</f>
        <v>720</v>
      </c>
      <c r="H7" s="476">
        <f t="shared" ref="H7:H31" si="1">E7*0.9*0.95*0.62</f>
        <v>636.12</v>
      </c>
      <c r="I7" s="476">
        <f t="shared" ref="I7:I31" si="2">G7-H7</f>
        <v>83.88</v>
      </c>
      <c r="K7" s="501"/>
    </row>
    <row r="8" spans="1:14" ht="15.75" thickBot="1" x14ac:dyDescent="0.3">
      <c r="A8" s="470" t="s">
        <v>545</v>
      </c>
      <c r="B8" s="472" t="s">
        <v>546</v>
      </c>
      <c r="C8" s="472">
        <v>1</v>
      </c>
      <c r="D8" s="477" t="s">
        <v>547</v>
      </c>
      <c r="E8" s="474">
        <v>880</v>
      </c>
      <c r="F8" s="475">
        <v>0.13</v>
      </c>
      <c r="G8" s="476">
        <f t="shared" si="0"/>
        <v>528</v>
      </c>
      <c r="H8" s="476">
        <f t="shared" si="1"/>
        <v>466.488</v>
      </c>
      <c r="I8" s="476">
        <f t="shared" si="2"/>
        <v>61.512</v>
      </c>
      <c r="K8" s="501"/>
    </row>
    <row r="9" spans="1:14" ht="15.75" thickBot="1" x14ac:dyDescent="0.3">
      <c r="A9" s="470" t="s">
        <v>548</v>
      </c>
      <c r="B9" s="471" t="s">
        <v>549</v>
      </c>
      <c r="C9" s="472">
        <v>1</v>
      </c>
      <c r="D9" s="478" t="s">
        <v>550</v>
      </c>
      <c r="E9" s="474">
        <v>620</v>
      </c>
      <c r="F9" s="475">
        <v>0.24</v>
      </c>
      <c r="G9" s="476">
        <f t="shared" si="0"/>
        <v>372</v>
      </c>
      <c r="H9" s="476">
        <f t="shared" si="1"/>
        <v>328.66200000000003</v>
      </c>
      <c r="I9" s="476">
        <f t="shared" si="2"/>
        <v>43.337999999999965</v>
      </c>
      <c r="K9" s="501"/>
    </row>
    <row r="10" spans="1:14" ht="51.6" customHeight="1" x14ac:dyDescent="0.25">
      <c r="A10" s="479"/>
      <c r="B10" s="480"/>
      <c r="C10" s="481"/>
      <c r="D10" s="482" t="s">
        <v>551</v>
      </c>
      <c r="E10" s="483">
        <f>SUM(E6:E9)</f>
        <v>2950</v>
      </c>
      <c r="F10" s="483"/>
      <c r="G10" s="476">
        <f t="shared" si="0"/>
        <v>1770</v>
      </c>
      <c r="H10" s="476">
        <f t="shared" si="1"/>
        <v>1563.7950000000001</v>
      </c>
      <c r="I10" s="476">
        <f t="shared" si="2"/>
        <v>206.20499999999993</v>
      </c>
      <c r="J10">
        <v>800</v>
      </c>
      <c r="K10" s="502">
        <v>1520</v>
      </c>
    </row>
    <row r="11" spans="1:14" x14ac:dyDescent="0.25">
      <c r="G11" s="476"/>
      <c r="H11" s="476"/>
      <c r="I11" s="476"/>
      <c r="K11" s="502"/>
      <c r="N11" s="476"/>
    </row>
    <row r="12" spans="1:14" ht="30" x14ac:dyDescent="0.25">
      <c r="A12" s="484" t="s">
        <v>552</v>
      </c>
      <c r="G12" s="476"/>
      <c r="H12" s="476"/>
      <c r="I12" s="476"/>
      <c r="K12" s="502"/>
    </row>
    <row r="13" spans="1:14" ht="15.75" thickBot="1" x14ac:dyDescent="0.3">
      <c r="A13" s="280"/>
      <c r="G13" s="476"/>
      <c r="H13" s="476"/>
      <c r="I13" s="476"/>
      <c r="K13" s="502"/>
    </row>
    <row r="14" spans="1:14" ht="15.75" thickBot="1" x14ac:dyDescent="0.3">
      <c r="A14" s="466" t="s">
        <v>464</v>
      </c>
      <c r="B14" s="467" t="s">
        <v>535</v>
      </c>
      <c r="C14" s="467" t="s">
        <v>536</v>
      </c>
      <c r="D14" s="468" t="s">
        <v>537</v>
      </c>
      <c r="E14" s="467" t="s">
        <v>553</v>
      </c>
      <c r="F14" s="468" t="s">
        <v>554</v>
      </c>
      <c r="G14" s="476"/>
      <c r="H14" s="476"/>
      <c r="I14" s="476"/>
      <c r="K14" s="502"/>
    </row>
    <row r="15" spans="1:14" ht="15.75" thickBot="1" x14ac:dyDescent="0.3">
      <c r="A15" s="470" t="s">
        <v>555</v>
      </c>
      <c r="B15" s="472">
        <v>3058</v>
      </c>
      <c r="C15" s="472">
        <v>1</v>
      </c>
      <c r="D15" s="478" t="s">
        <v>556</v>
      </c>
      <c r="E15" s="474">
        <v>6500</v>
      </c>
      <c r="F15" s="475">
        <v>0.13</v>
      </c>
      <c r="G15" s="476">
        <f t="shared" si="0"/>
        <v>3900</v>
      </c>
      <c r="H15" s="476">
        <f t="shared" si="1"/>
        <v>3445.65</v>
      </c>
      <c r="I15" s="476">
        <f t="shared" si="2"/>
        <v>454.34999999999991</v>
      </c>
      <c r="K15" s="502"/>
    </row>
    <row r="16" spans="1:14" ht="15.75" thickBot="1" x14ac:dyDescent="0.3">
      <c r="A16" s="470" t="s">
        <v>557</v>
      </c>
      <c r="B16" s="471">
        <v>37092</v>
      </c>
      <c r="C16" s="472">
        <v>1</v>
      </c>
      <c r="D16" s="477" t="s">
        <v>558</v>
      </c>
      <c r="E16" s="474">
        <v>160</v>
      </c>
      <c r="F16" s="475">
        <v>0.24</v>
      </c>
      <c r="G16" s="476">
        <f t="shared" si="0"/>
        <v>96</v>
      </c>
      <c r="H16" s="476">
        <f t="shared" si="1"/>
        <v>84.815999999999988</v>
      </c>
      <c r="I16" s="476">
        <f t="shared" si="2"/>
        <v>11.184000000000012</v>
      </c>
      <c r="K16" s="502"/>
      <c r="L16" s="476"/>
      <c r="M16" s="476"/>
    </row>
    <row r="17" spans="1:13" ht="55.15" customHeight="1" x14ac:dyDescent="0.25">
      <c r="A17" s="479"/>
      <c r="B17" s="480"/>
      <c r="C17" s="481"/>
      <c r="D17" s="485" t="s">
        <v>551</v>
      </c>
      <c r="E17" s="483">
        <f>SUM(E15:E16)</f>
        <v>6660</v>
      </c>
      <c r="F17" s="486"/>
      <c r="G17" s="476">
        <f t="shared" si="0"/>
        <v>3996</v>
      </c>
      <c r="H17" s="476">
        <f t="shared" si="1"/>
        <v>3530.4659999999999</v>
      </c>
      <c r="I17" s="476">
        <f t="shared" si="2"/>
        <v>465.53400000000011</v>
      </c>
      <c r="J17">
        <v>800</v>
      </c>
      <c r="K17" s="502">
        <v>1817</v>
      </c>
      <c r="M17" s="476"/>
    </row>
    <row r="18" spans="1:13" s="419" customFormat="1" ht="30" x14ac:dyDescent="0.25">
      <c r="A18" s="484" t="s">
        <v>559</v>
      </c>
      <c r="B18" s="487"/>
      <c r="C18" s="488"/>
      <c r="D18" s="489"/>
      <c r="E18" s="490"/>
      <c r="F18" s="491"/>
      <c r="G18" s="476"/>
      <c r="H18" s="476"/>
      <c r="I18" s="476"/>
      <c r="K18" s="502"/>
    </row>
    <row r="19" spans="1:13" ht="15.75" thickBot="1" x14ac:dyDescent="0.3">
      <c r="A19" s="492"/>
      <c r="E19" s="476"/>
      <c r="F19" s="476"/>
      <c r="G19" s="476"/>
      <c r="H19" s="476"/>
      <c r="I19" s="476"/>
      <c r="K19" s="502"/>
    </row>
    <row r="20" spans="1:13" ht="15.75" thickBot="1" x14ac:dyDescent="0.3">
      <c r="A20" s="466" t="s">
        <v>464</v>
      </c>
      <c r="B20" s="467" t="s">
        <v>535</v>
      </c>
      <c r="C20" s="467" t="s">
        <v>536</v>
      </c>
      <c r="D20" s="468" t="s">
        <v>537</v>
      </c>
      <c r="E20" s="467" t="s">
        <v>553</v>
      </c>
      <c r="F20" s="468" t="s">
        <v>554</v>
      </c>
      <c r="G20" s="476"/>
      <c r="H20" s="476"/>
      <c r="I20" s="476"/>
      <c r="K20" s="502"/>
    </row>
    <row r="21" spans="1:13" ht="15.75" thickBot="1" x14ac:dyDescent="0.3">
      <c r="A21" s="470" t="s">
        <v>560</v>
      </c>
      <c r="B21" s="472">
        <v>97800</v>
      </c>
      <c r="C21" s="472">
        <v>1</v>
      </c>
      <c r="D21" s="478" t="s">
        <v>561</v>
      </c>
      <c r="E21" s="474">
        <v>14150</v>
      </c>
      <c r="F21" s="475">
        <v>0.13</v>
      </c>
      <c r="G21" s="476">
        <f t="shared" si="0"/>
        <v>8490</v>
      </c>
      <c r="H21" s="476">
        <f t="shared" si="1"/>
        <v>7500.915</v>
      </c>
      <c r="I21" s="476">
        <f t="shared" si="2"/>
        <v>989.08500000000004</v>
      </c>
      <c r="K21" s="502"/>
    </row>
    <row r="22" spans="1:13" ht="15.75" thickBot="1" x14ac:dyDescent="0.3">
      <c r="A22" s="470" t="s">
        <v>557</v>
      </c>
      <c r="B22" s="472">
        <v>37092</v>
      </c>
      <c r="C22" s="472">
        <v>1</v>
      </c>
      <c r="D22" s="478" t="s">
        <v>558</v>
      </c>
      <c r="E22" s="474">
        <v>160</v>
      </c>
      <c r="F22" s="475">
        <v>0.24</v>
      </c>
      <c r="G22" s="476">
        <f t="shared" si="0"/>
        <v>96</v>
      </c>
      <c r="H22" s="476">
        <f t="shared" si="1"/>
        <v>84.815999999999988</v>
      </c>
      <c r="I22" s="476">
        <f t="shared" si="2"/>
        <v>11.184000000000012</v>
      </c>
      <c r="K22" s="502"/>
    </row>
    <row r="23" spans="1:13" x14ac:dyDescent="0.25">
      <c r="A23" s="492"/>
      <c r="D23" t="s">
        <v>551</v>
      </c>
      <c r="E23" s="476">
        <f>SUM(E21:E22)</f>
        <v>14310</v>
      </c>
      <c r="G23" s="476">
        <f t="shared" si="0"/>
        <v>8586</v>
      </c>
      <c r="H23" s="476">
        <f t="shared" si="1"/>
        <v>7585.7309999999998</v>
      </c>
      <c r="I23" s="476">
        <f t="shared" si="2"/>
        <v>1000.2690000000002</v>
      </c>
      <c r="J23">
        <v>800</v>
      </c>
      <c r="K23" s="502">
        <v>2480</v>
      </c>
    </row>
    <row r="24" spans="1:13" x14ac:dyDescent="0.25">
      <c r="A24" s="492"/>
      <c r="G24" s="476"/>
      <c r="H24" s="476"/>
      <c r="I24" s="476"/>
      <c r="K24" s="502"/>
    </row>
    <row r="25" spans="1:13" x14ac:dyDescent="0.25">
      <c r="A25" s="484" t="s">
        <v>562</v>
      </c>
      <c r="G25" s="476"/>
      <c r="H25" s="476"/>
      <c r="I25" s="476"/>
      <c r="K25" s="502"/>
    </row>
    <row r="26" spans="1:13" ht="15.75" thickBot="1" x14ac:dyDescent="0.3">
      <c r="A26" s="492"/>
      <c r="G26" s="476"/>
      <c r="H26" s="476"/>
      <c r="I26" s="476"/>
      <c r="K26" s="502"/>
    </row>
    <row r="27" spans="1:13" ht="15.75" thickBot="1" x14ac:dyDescent="0.3">
      <c r="A27" s="466" t="s">
        <v>464</v>
      </c>
      <c r="B27" s="467" t="s">
        <v>535</v>
      </c>
      <c r="C27" s="467" t="s">
        <v>536</v>
      </c>
      <c r="D27" s="468" t="s">
        <v>537</v>
      </c>
      <c r="E27" s="467" t="s">
        <v>553</v>
      </c>
      <c r="F27" s="468" t="s">
        <v>554</v>
      </c>
      <c r="G27" s="476"/>
      <c r="H27" s="476"/>
      <c r="I27" s="476"/>
      <c r="K27" s="502"/>
    </row>
    <row r="28" spans="1:13" ht="24.75" thickBot="1" x14ac:dyDescent="0.3">
      <c r="A28" s="493" t="s">
        <v>563</v>
      </c>
      <c r="B28" s="472">
        <v>97810</v>
      </c>
      <c r="C28" s="472">
        <v>1</v>
      </c>
      <c r="D28" s="477" t="s">
        <v>564</v>
      </c>
      <c r="E28" s="474">
        <v>20950</v>
      </c>
      <c r="F28" s="475">
        <v>0.13</v>
      </c>
      <c r="G28" s="476">
        <f t="shared" si="0"/>
        <v>12570</v>
      </c>
      <c r="H28" s="476">
        <f t="shared" si="1"/>
        <v>11105.594999999999</v>
      </c>
      <c r="I28" s="476">
        <f t="shared" si="2"/>
        <v>1464.4050000000007</v>
      </c>
      <c r="K28" s="502"/>
    </row>
    <row r="29" spans="1:13" ht="15.75" thickBot="1" x14ac:dyDescent="0.3">
      <c r="A29" s="470" t="s">
        <v>557</v>
      </c>
      <c r="B29" s="471">
        <v>37092</v>
      </c>
      <c r="C29" s="472">
        <v>1</v>
      </c>
      <c r="D29" s="477" t="s">
        <v>558</v>
      </c>
      <c r="E29" s="474">
        <v>160</v>
      </c>
      <c r="F29" s="475">
        <v>0.24</v>
      </c>
      <c r="G29" s="476">
        <f t="shared" si="0"/>
        <v>96</v>
      </c>
      <c r="H29" s="476">
        <f t="shared" si="1"/>
        <v>84.815999999999988</v>
      </c>
      <c r="I29" s="476">
        <f t="shared" si="2"/>
        <v>11.184000000000012</v>
      </c>
      <c r="K29" s="502"/>
    </row>
    <row r="30" spans="1:13" ht="15.75" thickBot="1" x14ac:dyDescent="0.3">
      <c r="A30" s="493" t="s">
        <v>565</v>
      </c>
      <c r="B30" s="472" t="s">
        <v>566</v>
      </c>
      <c r="C30" s="472">
        <v>1</v>
      </c>
      <c r="D30" s="477" t="s">
        <v>567</v>
      </c>
      <c r="E30" s="474">
        <v>2000</v>
      </c>
      <c r="F30" s="475">
        <v>0.24</v>
      </c>
      <c r="G30" s="476">
        <f t="shared" si="0"/>
        <v>1200</v>
      </c>
      <c r="H30" s="476">
        <f t="shared" si="1"/>
        <v>1060.2</v>
      </c>
      <c r="I30" s="476">
        <f t="shared" si="2"/>
        <v>139.79999999999995</v>
      </c>
      <c r="K30" s="502"/>
    </row>
    <row r="31" spans="1:13" ht="15.75" thickBot="1" x14ac:dyDescent="0.3">
      <c r="A31" s="494"/>
      <c r="B31" s="495"/>
      <c r="C31" s="495"/>
      <c r="D31" s="494" t="s">
        <v>551</v>
      </c>
      <c r="E31" s="496">
        <f>SUM(E28:E30)</f>
        <v>23110</v>
      </c>
      <c r="F31" s="497"/>
      <c r="G31" s="476">
        <f t="shared" si="0"/>
        <v>13866</v>
      </c>
      <c r="H31" s="476">
        <f t="shared" si="1"/>
        <v>12250.610999999999</v>
      </c>
      <c r="I31" s="476">
        <f t="shared" si="2"/>
        <v>1615.389000000001</v>
      </c>
      <c r="J31">
        <v>800</v>
      </c>
      <c r="K31" s="502">
        <v>3243</v>
      </c>
    </row>
    <row r="32" spans="1:13" ht="18.75" x14ac:dyDescent="0.25">
      <c r="A32" s="498"/>
    </row>
    <row r="33" spans="1:11" ht="18.75" x14ac:dyDescent="0.25">
      <c r="A33" s="499"/>
    </row>
    <row r="34" spans="1:11" ht="18.75" x14ac:dyDescent="0.25">
      <c r="A34" s="499"/>
    </row>
    <row r="35" spans="1:11" ht="18.75" x14ac:dyDescent="0.25">
      <c r="A35" s="499"/>
    </row>
    <row r="36" spans="1:11" ht="18.75" x14ac:dyDescent="0.25">
      <c r="A36" s="499"/>
    </row>
    <row r="37" spans="1:11" ht="18.75" x14ac:dyDescent="0.25">
      <c r="A37" s="499"/>
      <c r="E37" s="476"/>
      <c r="K37" s="476"/>
    </row>
    <row r="38" spans="1:11" ht="18.75" x14ac:dyDescent="0.25">
      <c r="A38" s="499"/>
      <c r="E38" s="476"/>
    </row>
    <row r="39" spans="1:11" ht="18.75" x14ac:dyDescent="0.25">
      <c r="A39" s="49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0B8C-1E7C-4F55-B776-C314D1DB0A52}">
  <dimension ref="A1:Q43"/>
  <sheetViews>
    <sheetView workbookViewId="0">
      <selection activeCell="A7" sqref="A7:XFD7"/>
    </sheetView>
  </sheetViews>
  <sheetFormatPr defaultColWidth="9.140625" defaultRowHeight="18" x14ac:dyDescent="0.35"/>
  <cols>
    <col min="1" max="1" width="5.42578125" style="62" customWidth="1"/>
    <col min="2" max="2" width="53" style="62" customWidth="1"/>
    <col min="3" max="4" width="9.140625" style="62"/>
    <col min="5" max="6" width="11.7109375" style="62" customWidth="1"/>
    <col min="7" max="10" width="15.7109375" style="62" customWidth="1"/>
    <col min="11" max="11" width="10.85546875" style="62" customWidth="1"/>
    <col min="12" max="12" width="20.5703125" style="62" customWidth="1"/>
    <col min="13" max="16384" width="9.140625" style="62"/>
  </cols>
  <sheetData>
    <row r="1" spans="1:12" ht="19.5" thickBot="1" x14ac:dyDescent="0.4">
      <c r="A1" s="1284" t="s">
        <v>568</v>
      </c>
      <c r="B1" s="1285"/>
      <c r="C1" s="1285"/>
      <c r="D1" s="1285"/>
      <c r="E1" s="1285"/>
      <c r="F1" s="1285"/>
      <c r="G1" s="1285"/>
      <c r="H1" s="1285"/>
      <c r="I1" s="1285"/>
      <c r="J1" s="1285"/>
      <c r="K1" s="1285"/>
      <c r="L1" s="1286"/>
    </row>
    <row r="2" spans="1:12" ht="18.75" thickBot="1" x14ac:dyDescent="0.4">
      <c r="A2" s="1185" t="s">
        <v>1</v>
      </c>
      <c r="B2" s="1185" t="s">
        <v>569</v>
      </c>
      <c r="C2" s="1206" t="s">
        <v>3</v>
      </c>
      <c r="D2" s="1453" t="s">
        <v>280</v>
      </c>
      <c r="E2" s="1455" t="s">
        <v>5</v>
      </c>
      <c r="F2" s="1455"/>
      <c r="G2" s="1235" t="s">
        <v>6</v>
      </c>
      <c r="H2" s="1235"/>
      <c r="I2" s="1235" t="s">
        <v>7</v>
      </c>
      <c r="J2" s="1235"/>
      <c r="K2" s="1206" t="s">
        <v>8</v>
      </c>
      <c r="L2" s="1185" t="s">
        <v>10</v>
      </c>
    </row>
    <row r="3" spans="1:12" ht="41.25" customHeight="1" thickBot="1" x14ac:dyDescent="0.4">
      <c r="A3" s="1186"/>
      <c r="B3" s="1186"/>
      <c r="C3" s="1207"/>
      <c r="D3" s="1454"/>
      <c r="E3" s="1041" t="s">
        <v>11</v>
      </c>
      <c r="F3" s="1041" t="s">
        <v>177</v>
      </c>
      <c r="G3" s="950" t="s">
        <v>12</v>
      </c>
      <c r="H3" s="950" t="s">
        <v>13</v>
      </c>
      <c r="I3" s="950" t="s">
        <v>12</v>
      </c>
      <c r="J3" s="950" t="s">
        <v>13</v>
      </c>
      <c r="K3" s="1207" t="s">
        <v>8</v>
      </c>
      <c r="L3" s="1186" t="s">
        <v>10</v>
      </c>
    </row>
    <row r="4" spans="1:12" ht="36" x14ac:dyDescent="0.35">
      <c r="A4" s="143">
        <v>1</v>
      </c>
      <c r="B4" s="439" t="s">
        <v>570</v>
      </c>
      <c r="C4" s="503" t="s">
        <v>571</v>
      </c>
      <c r="D4" s="503"/>
      <c r="E4" s="143">
        <v>4</v>
      </c>
      <c r="F4" s="442">
        <v>1</v>
      </c>
      <c r="G4" s="504">
        <v>3543.7500000000005</v>
      </c>
      <c r="H4" s="994">
        <v>4183.75</v>
      </c>
      <c r="I4" s="505">
        <v>2585.52</v>
      </c>
      <c r="J4" s="507">
        <v>3225.52</v>
      </c>
      <c r="K4" s="1456" t="s">
        <v>34</v>
      </c>
      <c r="L4" s="506">
        <v>46070</v>
      </c>
    </row>
    <row r="5" spans="1:12" ht="36" x14ac:dyDescent="0.35">
      <c r="A5" s="154">
        <v>2</v>
      </c>
      <c r="B5" s="32" t="s">
        <v>572</v>
      </c>
      <c r="C5" s="33" t="s">
        <v>571</v>
      </c>
      <c r="D5" s="33"/>
      <c r="E5" s="154">
        <v>2</v>
      </c>
      <c r="F5" s="442">
        <v>1</v>
      </c>
      <c r="G5" s="504">
        <v>2233.98</v>
      </c>
      <c r="H5" s="994">
        <v>2553.98</v>
      </c>
      <c r="I5" s="505">
        <v>1701</v>
      </c>
      <c r="J5" s="507">
        <v>2021</v>
      </c>
      <c r="K5" s="1457"/>
      <c r="L5" s="292">
        <v>46070</v>
      </c>
    </row>
    <row r="6" spans="1:12" x14ac:dyDescent="0.35">
      <c r="A6" s="154">
        <v>3</v>
      </c>
      <c r="B6" s="854" t="s">
        <v>573</v>
      </c>
      <c r="C6" s="931" t="s">
        <v>574</v>
      </c>
      <c r="D6" s="931">
        <v>1.5</v>
      </c>
      <c r="E6" s="879">
        <v>1</v>
      </c>
      <c r="F6" s="932"/>
      <c r="G6" s="933">
        <v>1250</v>
      </c>
      <c r="H6" s="995">
        <v>1410</v>
      </c>
      <c r="I6" s="934">
        <v>1000</v>
      </c>
      <c r="J6" s="992">
        <v>1160</v>
      </c>
      <c r="K6" s="1457"/>
      <c r="L6" s="292">
        <v>46070</v>
      </c>
    </row>
    <row r="7" spans="1:12" x14ac:dyDescent="0.35">
      <c r="A7" s="154">
        <v>4</v>
      </c>
      <c r="B7" s="854" t="s">
        <v>575</v>
      </c>
      <c r="C7" s="931" t="s">
        <v>576</v>
      </c>
      <c r="D7" s="931"/>
      <c r="E7" s="879">
        <v>2</v>
      </c>
      <c r="F7" s="932"/>
      <c r="G7" s="933">
        <v>1116.99</v>
      </c>
      <c r="H7" s="995">
        <v>1436.99</v>
      </c>
      <c r="I7" s="934">
        <v>952.56000000000006</v>
      </c>
      <c r="J7" s="992">
        <v>1272.56</v>
      </c>
      <c r="K7" s="1457"/>
      <c r="L7" s="292">
        <v>46070</v>
      </c>
    </row>
    <row r="8" spans="1:12" ht="36" x14ac:dyDescent="0.35">
      <c r="A8" s="154">
        <v>5</v>
      </c>
      <c r="B8" s="854" t="s">
        <v>577</v>
      </c>
      <c r="C8" s="931" t="s">
        <v>571</v>
      </c>
      <c r="D8" s="931"/>
      <c r="E8" s="879">
        <v>5</v>
      </c>
      <c r="F8" s="932">
        <v>1</v>
      </c>
      <c r="G8" s="933">
        <v>3912.3</v>
      </c>
      <c r="H8" s="995">
        <v>4712.3</v>
      </c>
      <c r="I8" s="934">
        <v>3402</v>
      </c>
      <c r="J8" s="992">
        <v>4202</v>
      </c>
      <c r="K8" s="1457"/>
      <c r="L8" s="292">
        <v>46070</v>
      </c>
    </row>
    <row r="9" spans="1:12" ht="54" x14ac:dyDescent="0.35">
      <c r="A9" s="154">
        <v>6</v>
      </c>
      <c r="B9" s="854" t="s">
        <v>578</v>
      </c>
      <c r="C9" s="931" t="s">
        <v>571</v>
      </c>
      <c r="D9" s="931"/>
      <c r="E9" s="879">
        <v>4</v>
      </c>
      <c r="F9" s="932">
        <v>1</v>
      </c>
      <c r="G9" s="933">
        <v>3543.7500000000005</v>
      </c>
      <c r="H9" s="995">
        <v>4183.75</v>
      </c>
      <c r="I9" s="934">
        <v>2585.52</v>
      </c>
      <c r="J9" s="992">
        <v>3225.52</v>
      </c>
      <c r="K9" s="1457"/>
      <c r="L9" s="292">
        <v>46070</v>
      </c>
    </row>
    <row r="10" spans="1:12" ht="36" x14ac:dyDescent="0.35">
      <c r="A10" s="154">
        <v>7</v>
      </c>
      <c r="B10" s="854" t="s">
        <v>579</v>
      </c>
      <c r="C10" s="931" t="s">
        <v>571</v>
      </c>
      <c r="D10" s="931"/>
      <c r="E10" s="879">
        <v>4</v>
      </c>
      <c r="F10" s="932">
        <v>1</v>
      </c>
      <c r="G10" s="933">
        <v>3543.7500000000005</v>
      </c>
      <c r="H10" s="995">
        <v>4183.75</v>
      </c>
      <c r="I10" s="934">
        <v>2585.52</v>
      </c>
      <c r="J10" s="992">
        <v>3225.52</v>
      </c>
      <c r="K10" s="1457"/>
      <c r="L10" s="292">
        <v>46070</v>
      </c>
    </row>
    <row r="11" spans="1:12" ht="36" x14ac:dyDescent="0.35">
      <c r="A11" s="154">
        <v>8</v>
      </c>
      <c r="B11" s="854" t="s">
        <v>580</v>
      </c>
      <c r="C11" s="931" t="s">
        <v>189</v>
      </c>
      <c r="D11" s="931"/>
      <c r="E11" s="879">
        <v>6</v>
      </c>
      <c r="F11" s="932">
        <v>1</v>
      </c>
      <c r="G11" s="933">
        <v>5426.1900000000005</v>
      </c>
      <c r="H11" s="995">
        <v>6386.1900000000005</v>
      </c>
      <c r="I11" s="934">
        <v>2800.98</v>
      </c>
      <c r="J11" s="992">
        <v>3760.98</v>
      </c>
      <c r="K11" s="1457"/>
      <c r="L11" s="292">
        <v>46070</v>
      </c>
    </row>
    <row r="12" spans="1:12" ht="36" x14ac:dyDescent="0.35">
      <c r="A12" s="154">
        <v>9</v>
      </c>
      <c r="B12" s="854" t="s">
        <v>581</v>
      </c>
      <c r="C12" s="875" t="s">
        <v>582</v>
      </c>
      <c r="D12" s="931">
        <v>0.5</v>
      </c>
      <c r="E12" s="879">
        <v>3</v>
      </c>
      <c r="F12" s="932"/>
      <c r="G12" s="933">
        <v>950</v>
      </c>
      <c r="H12" s="995">
        <v>1430</v>
      </c>
      <c r="I12" s="934">
        <v>750</v>
      </c>
      <c r="J12" s="992">
        <v>1230</v>
      </c>
      <c r="K12" s="1457"/>
      <c r="L12" s="292">
        <v>46070</v>
      </c>
    </row>
    <row r="13" spans="1:12" ht="36" x14ac:dyDescent="0.35">
      <c r="A13" s="154">
        <v>10</v>
      </c>
      <c r="B13" s="854" t="s">
        <v>583</v>
      </c>
      <c r="C13" s="931" t="s">
        <v>571</v>
      </c>
      <c r="D13" s="931"/>
      <c r="E13" s="879">
        <v>5</v>
      </c>
      <c r="F13" s="932">
        <v>1</v>
      </c>
      <c r="G13" s="933">
        <v>4184.46</v>
      </c>
      <c r="H13" s="995">
        <v>4984.46</v>
      </c>
      <c r="I13" s="934">
        <v>3753.5400000000004</v>
      </c>
      <c r="J13" s="992">
        <v>4553.5400000000009</v>
      </c>
      <c r="K13" s="1457"/>
      <c r="L13" s="292">
        <v>46070</v>
      </c>
    </row>
    <row r="14" spans="1:12" ht="36" x14ac:dyDescent="0.35">
      <c r="A14" s="154">
        <v>11</v>
      </c>
      <c r="B14" s="854" t="s">
        <v>584</v>
      </c>
      <c r="C14" s="931" t="s">
        <v>571</v>
      </c>
      <c r="D14" s="931"/>
      <c r="E14" s="879">
        <v>2</v>
      </c>
      <c r="F14" s="932">
        <v>1</v>
      </c>
      <c r="G14" s="933">
        <v>2789.6400000000003</v>
      </c>
      <c r="H14" s="995">
        <v>3109.6400000000003</v>
      </c>
      <c r="I14" s="934">
        <v>2063.88</v>
      </c>
      <c r="J14" s="992">
        <v>2383.88</v>
      </c>
      <c r="K14" s="1457"/>
      <c r="L14" s="292">
        <v>46070</v>
      </c>
    </row>
    <row r="15" spans="1:12" x14ac:dyDescent="0.35">
      <c r="A15" s="154">
        <v>12</v>
      </c>
      <c r="B15" s="854" t="s">
        <v>585</v>
      </c>
      <c r="C15" s="931" t="s">
        <v>571</v>
      </c>
      <c r="D15" s="931">
        <v>3.5</v>
      </c>
      <c r="E15" s="879">
        <v>1</v>
      </c>
      <c r="F15" s="932"/>
      <c r="G15" s="933">
        <v>2550</v>
      </c>
      <c r="H15" s="995">
        <v>2710</v>
      </c>
      <c r="I15" s="934">
        <v>1490</v>
      </c>
      <c r="J15" s="992">
        <v>1650</v>
      </c>
      <c r="K15" s="1457"/>
      <c r="L15" s="292">
        <v>46070</v>
      </c>
    </row>
    <row r="16" spans="1:12" x14ac:dyDescent="0.35">
      <c r="A16" s="154">
        <v>13</v>
      </c>
      <c r="B16" s="854" t="s">
        <v>586</v>
      </c>
      <c r="C16" s="931" t="s">
        <v>571</v>
      </c>
      <c r="D16" s="931">
        <v>5.5</v>
      </c>
      <c r="E16" s="879">
        <v>1</v>
      </c>
      <c r="F16" s="932"/>
      <c r="G16" s="933">
        <v>2940</v>
      </c>
      <c r="H16" s="995">
        <v>3100</v>
      </c>
      <c r="I16" s="934">
        <v>1880</v>
      </c>
      <c r="J16" s="992">
        <v>2040</v>
      </c>
      <c r="K16" s="1457"/>
      <c r="L16" s="292">
        <v>46070</v>
      </c>
    </row>
    <row r="17" spans="1:15" x14ac:dyDescent="0.35">
      <c r="A17" s="154">
        <v>14</v>
      </c>
      <c r="B17" s="854" t="s">
        <v>587</v>
      </c>
      <c r="C17" s="931" t="s">
        <v>588</v>
      </c>
      <c r="D17" s="931"/>
      <c r="E17" s="879">
        <v>2</v>
      </c>
      <c r="F17" s="932"/>
      <c r="G17" s="933">
        <v>1179.3600000000001</v>
      </c>
      <c r="H17" s="994">
        <v>1499.3600000000001</v>
      </c>
      <c r="I17" s="505">
        <v>771.12</v>
      </c>
      <c r="J17" s="507">
        <v>1091.1199999999999</v>
      </c>
      <c r="K17" s="1457"/>
      <c r="L17" s="292">
        <v>46070</v>
      </c>
    </row>
    <row r="18" spans="1:15" ht="36.75" thickBot="1" x14ac:dyDescent="0.4">
      <c r="A18" s="508">
        <v>15</v>
      </c>
      <c r="B18" s="509" t="s">
        <v>589</v>
      </c>
      <c r="C18" s="510" t="s">
        <v>588</v>
      </c>
      <c r="D18" s="510"/>
      <c r="E18" s="508">
        <v>2</v>
      </c>
      <c r="F18" s="511"/>
      <c r="G18" s="512">
        <v>1101.114</v>
      </c>
      <c r="H18" s="996">
        <v>1421.114</v>
      </c>
      <c r="I18" s="513">
        <v>697.41000000000008</v>
      </c>
      <c r="J18" s="993">
        <v>1017.4100000000001</v>
      </c>
      <c r="K18" s="1458"/>
      <c r="L18" s="318">
        <v>46070</v>
      </c>
    </row>
    <row r="20" spans="1:15" ht="4.5" customHeight="1" thickBot="1" x14ac:dyDescent="0.4"/>
    <row r="21" spans="1:15" ht="67.5" customHeight="1" thickBot="1" x14ac:dyDescent="0.4">
      <c r="B21" s="343" t="s">
        <v>77</v>
      </c>
      <c r="C21" s="1459" t="s">
        <v>78</v>
      </c>
      <c r="D21" s="1460"/>
    </row>
    <row r="22" spans="1:15" x14ac:dyDescent="0.35">
      <c r="B22" s="1042" t="s">
        <v>79</v>
      </c>
      <c r="C22" s="1461">
        <v>160</v>
      </c>
      <c r="D22" s="1462"/>
    </row>
    <row r="23" spans="1:15" x14ac:dyDescent="0.35">
      <c r="B23" s="1013" t="s">
        <v>80</v>
      </c>
      <c r="C23" s="1451">
        <v>380</v>
      </c>
      <c r="D23" s="1452"/>
    </row>
    <row r="24" spans="1:15" x14ac:dyDescent="0.35">
      <c r="B24" s="1013" t="s">
        <v>81</v>
      </c>
      <c r="C24" s="1451">
        <v>485</v>
      </c>
      <c r="D24" s="1452"/>
    </row>
    <row r="25" spans="1:15" x14ac:dyDescent="0.35">
      <c r="B25" s="1014" t="s">
        <v>82</v>
      </c>
      <c r="C25" s="1451">
        <v>540</v>
      </c>
      <c r="D25" s="1452"/>
    </row>
    <row r="26" spans="1:15" ht="18.75" thickBot="1" x14ac:dyDescent="0.4">
      <c r="B26" s="1015" t="s">
        <v>83</v>
      </c>
      <c r="C26" s="1449">
        <v>760</v>
      </c>
      <c r="D26" s="1450"/>
    </row>
    <row r="27" spans="1:15" x14ac:dyDescent="0.35">
      <c r="A27" s="20"/>
      <c r="H27" s="64"/>
      <c r="I27" s="64"/>
      <c r="J27" s="64"/>
      <c r="K27" s="3"/>
      <c r="L27" s="3"/>
    </row>
    <row r="28" spans="1:15" x14ac:dyDescent="0.35">
      <c r="B28" s="1200" t="s">
        <v>358</v>
      </c>
      <c r="C28" s="1200"/>
      <c r="D28" s="1200"/>
      <c r="E28" s="1200"/>
      <c r="F28" s="1200"/>
      <c r="G28" s="1200"/>
    </row>
    <row r="29" spans="1:15" s="20" customFormat="1" ht="18.75" x14ac:dyDescent="0.3">
      <c r="B29" s="1182" t="s">
        <v>85</v>
      </c>
      <c r="C29" s="1182"/>
      <c r="D29" s="1182"/>
      <c r="E29" s="1182"/>
      <c r="F29" s="1182"/>
      <c r="G29" s="1182"/>
      <c r="H29" s="1182"/>
      <c r="I29" s="1182"/>
      <c r="J29" s="1182"/>
      <c r="K29" s="1182"/>
      <c r="L29" s="1182"/>
      <c r="M29" s="213"/>
      <c r="O29" s="65"/>
    </row>
    <row r="30" spans="1:15" s="20" customFormat="1" ht="63" customHeight="1" x14ac:dyDescent="0.3">
      <c r="B30" s="1178" t="s">
        <v>95</v>
      </c>
      <c r="C30" s="1178"/>
      <c r="D30" s="1178"/>
      <c r="E30" s="1178"/>
      <c r="F30" s="1178"/>
      <c r="G30" s="1178"/>
      <c r="H30" s="1178"/>
      <c r="I30" s="1178"/>
      <c r="J30" s="1178"/>
      <c r="K30" s="1178"/>
      <c r="L30" s="1178"/>
      <c r="M30" s="214"/>
      <c r="O30" s="65"/>
    </row>
    <row r="31" spans="1:15" s="20" customFormat="1" ht="45.75" customHeight="1" x14ac:dyDescent="0.3">
      <c r="B31" s="1178" t="s">
        <v>96</v>
      </c>
      <c r="C31" s="1178"/>
      <c r="D31" s="1178"/>
      <c r="E31" s="1178"/>
      <c r="F31" s="1178"/>
      <c r="G31" s="1178"/>
      <c r="H31" s="1178"/>
      <c r="I31" s="1178"/>
      <c r="J31" s="1178"/>
      <c r="K31" s="1178"/>
      <c r="L31" s="1178"/>
      <c r="M31" s="214"/>
      <c r="O31" s="65"/>
    </row>
    <row r="32" spans="1:15" s="20" customFormat="1" x14ac:dyDescent="0.3">
      <c r="B32" s="1178" t="s">
        <v>97</v>
      </c>
      <c r="C32" s="1178"/>
      <c r="D32" s="1178"/>
      <c r="E32" s="1178"/>
      <c r="F32" s="1178"/>
      <c r="G32" s="1178"/>
      <c r="H32" s="1178"/>
      <c r="I32" s="1178"/>
      <c r="J32" s="1178"/>
      <c r="K32" s="1178"/>
      <c r="L32" s="1178"/>
      <c r="M32" s="214"/>
      <c r="O32" s="65"/>
    </row>
    <row r="33" spans="2:17" s="20" customFormat="1" ht="63" customHeight="1" x14ac:dyDescent="0.3">
      <c r="B33" s="1178" t="s">
        <v>98</v>
      </c>
      <c r="C33" s="1178"/>
      <c r="D33" s="1178"/>
      <c r="E33" s="1178"/>
      <c r="F33" s="1178"/>
      <c r="G33" s="1178"/>
      <c r="H33" s="1178"/>
      <c r="I33" s="1178"/>
      <c r="J33" s="1178"/>
      <c r="K33" s="1178"/>
      <c r="L33" s="1178"/>
      <c r="M33" s="214"/>
      <c r="O33" s="65"/>
    </row>
    <row r="34" spans="2:17" s="20" customFormat="1" x14ac:dyDescent="0.3">
      <c r="B34" s="1178" t="s">
        <v>274</v>
      </c>
      <c r="C34" s="1178"/>
      <c r="D34" s="1178"/>
      <c r="E34" s="1178"/>
      <c r="F34" s="1178"/>
      <c r="G34" s="1178"/>
      <c r="H34" s="1178"/>
      <c r="I34" s="1178"/>
      <c r="J34" s="1178"/>
      <c r="K34" s="1178"/>
      <c r="L34" s="1178"/>
      <c r="M34" s="214"/>
      <c r="O34" s="65"/>
    </row>
    <row r="35" spans="2:17" s="20" customFormat="1" ht="32.25" customHeight="1" x14ac:dyDescent="0.3">
      <c r="B35" s="1178" t="s">
        <v>101</v>
      </c>
      <c r="C35" s="1178"/>
      <c r="D35" s="1178"/>
      <c r="E35" s="1178"/>
      <c r="F35" s="1178"/>
      <c r="G35" s="1178"/>
      <c r="H35" s="1178"/>
      <c r="I35" s="1178"/>
      <c r="J35" s="1178"/>
      <c r="K35" s="1178"/>
      <c r="L35" s="1178"/>
      <c r="M35" s="214"/>
      <c r="O35" s="65"/>
    </row>
    <row r="36" spans="2:17" s="20" customFormat="1" ht="65.25" customHeight="1" x14ac:dyDescent="0.3">
      <c r="B36" s="1178" t="s">
        <v>359</v>
      </c>
      <c r="C36" s="1178"/>
      <c r="D36" s="1178"/>
      <c r="E36" s="1178"/>
      <c r="F36" s="1178"/>
      <c r="G36" s="1178"/>
      <c r="H36" s="1178"/>
      <c r="I36" s="1178"/>
      <c r="J36" s="1178"/>
      <c r="K36" s="1178"/>
      <c r="L36" s="1178"/>
      <c r="M36" s="214"/>
      <c r="O36" s="65"/>
    </row>
    <row r="37" spans="2:17" s="20" customFormat="1" x14ac:dyDescent="0.3">
      <c r="B37" s="1211"/>
      <c r="C37" s="1212"/>
      <c r="D37" s="1212"/>
      <c r="E37" s="1212"/>
      <c r="F37" s="1212"/>
      <c r="G37" s="1212"/>
      <c r="H37" s="1212"/>
      <c r="I37" s="1212"/>
      <c r="J37" s="1212"/>
      <c r="K37" s="1212"/>
      <c r="L37" s="1212"/>
      <c r="M37" s="1295"/>
      <c r="O37" s="65"/>
    </row>
    <row r="38" spans="2:17" s="20" customFormat="1" ht="18.75" x14ac:dyDescent="0.35">
      <c r="B38" s="1213" t="s">
        <v>86</v>
      </c>
      <c r="C38" s="1213"/>
      <c r="D38" s="1213"/>
      <c r="E38" s="1213"/>
      <c r="F38" s="1213"/>
      <c r="G38" s="1213"/>
      <c r="H38" s="63"/>
      <c r="I38" s="64"/>
      <c r="J38" s="64"/>
      <c r="K38" s="64"/>
      <c r="L38" s="3"/>
      <c r="M38" s="3"/>
      <c r="O38" s="65"/>
    </row>
    <row r="39" spans="2:17" s="20" customFormat="1" ht="110.25" customHeight="1" x14ac:dyDescent="0.35">
      <c r="B39" s="1177" t="s">
        <v>590</v>
      </c>
      <c r="C39" s="1177"/>
      <c r="D39" s="1177"/>
      <c r="E39" s="1177"/>
      <c r="F39" s="1177"/>
      <c r="G39" s="1177"/>
      <c r="H39" s="63"/>
      <c r="I39" s="64"/>
      <c r="J39" s="64"/>
      <c r="K39" s="64"/>
      <c r="L39" s="3"/>
      <c r="M39" s="3"/>
      <c r="O39" s="65"/>
    </row>
    <row r="40" spans="2:17" s="20" customFormat="1" ht="41.25" customHeight="1" x14ac:dyDescent="0.35">
      <c r="B40" s="1177" t="s">
        <v>89</v>
      </c>
      <c r="C40" s="1177"/>
      <c r="D40" s="1177"/>
      <c r="E40" s="1177"/>
      <c r="F40" s="1177"/>
      <c r="G40" s="1177"/>
      <c r="H40" s="63"/>
      <c r="I40" s="64"/>
      <c r="J40" s="64"/>
      <c r="K40" s="64"/>
      <c r="L40" s="3"/>
      <c r="M40" s="3"/>
      <c r="Q40" s="65"/>
    </row>
    <row r="41" spans="2:17" s="20" customFormat="1" ht="45" customHeight="1" x14ac:dyDescent="0.35">
      <c r="B41" s="1209" t="s">
        <v>277</v>
      </c>
      <c r="C41" s="1210"/>
      <c r="D41" s="1210"/>
      <c r="E41" s="1210"/>
      <c r="F41" s="1210"/>
      <c r="G41" s="1331"/>
      <c r="H41" s="63"/>
      <c r="I41" s="64"/>
      <c r="J41" s="64"/>
      <c r="K41" s="64"/>
      <c r="L41" s="3"/>
      <c r="M41" s="3"/>
      <c r="Q41" s="65"/>
    </row>
    <row r="42" spans="2:17" s="20" customFormat="1" ht="19.5" customHeight="1" x14ac:dyDescent="0.35">
      <c r="B42" s="1177" t="s">
        <v>90</v>
      </c>
      <c r="C42" s="1177"/>
      <c r="D42" s="1177"/>
      <c r="E42" s="1177"/>
      <c r="F42" s="1177"/>
      <c r="G42" s="1177"/>
      <c r="H42" s="63"/>
      <c r="I42" s="64"/>
      <c r="J42" s="64"/>
      <c r="K42" s="64"/>
      <c r="L42" s="3"/>
      <c r="M42" s="3"/>
      <c r="Q42" s="65"/>
    </row>
    <row r="43" spans="2:17" s="20" customFormat="1" x14ac:dyDescent="0.3">
      <c r="B43" s="1177" t="s">
        <v>278</v>
      </c>
      <c r="C43" s="1177"/>
      <c r="D43" s="1177"/>
      <c r="E43" s="1177"/>
      <c r="F43" s="1177"/>
      <c r="G43" s="1177"/>
      <c r="H43" s="3"/>
      <c r="I43" s="3"/>
      <c r="J43" s="64"/>
      <c r="K43" s="64"/>
      <c r="L43" s="3"/>
      <c r="M43" s="3"/>
      <c r="Q43" s="65"/>
    </row>
  </sheetData>
  <mergeCells count="33">
    <mergeCell ref="C25:D25"/>
    <mergeCell ref="A1:L1"/>
    <mergeCell ref="A2:A3"/>
    <mergeCell ref="B2:B3"/>
    <mergeCell ref="C2:C3"/>
    <mergeCell ref="D2:D3"/>
    <mergeCell ref="E2:F2"/>
    <mergeCell ref="G2:H2"/>
    <mergeCell ref="I2:J2"/>
    <mergeCell ref="K2:K3"/>
    <mergeCell ref="L2:L3"/>
    <mergeCell ref="K4:K18"/>
    <mergeCell ref="C21:D21"/>
    <mergeCell ref="C22:D22"/>
    <mergeCell ref="C23:D23"/>
    <mergeCell ref="C24:D24"/>
    <mergeCell ref="B38:G38"/>
    <mergeCell ref="C26:D26"/>
    <mergeCell ref="B28:G28"/>
    <mergeCell ref="B29:L29"/>
    <mergeCell ref="B30:L30"/>
    <mergeCell ref="B31:L31"/>
    <mergeCell ref="B32:L32"/>
    <mergeCell ref="B33:L33"/>
    <mergeCell ref="B34:L34"/>
    <mergeCell ref="B35:L35"/>
    <mergeCell ref="B36:L36"/>
    <mergeCell ref="B37:M37"/>
    <mergeCell ref="B39:G39"/>
    <mergeCell ref="B40:G40"/>
    <mergeCell ref="B41:G41"/>
    <mergeCell ref="B42:G42"/>
    <mergeCell ref="B43:G4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4B32-B7FE-484C-BE5A-1FD8A0B2D177}">
  <dimension ref="A1:Q42"/>
  <sheetViews>
    <sheetView workbookViewId="0">
      <selection activeCell="B8" sqref="B8"/>
    </sheetView>
  </sheetViews>
  <sheetFormatPr defaultRowHeight="16.5" x14ac:dyDescent="0.3"/>
  <cols>
    <col min="1" max="1" width="5.7109375" style="20" customWidth="1"/>
    <col min="2" max="2" width="48.28515625" style="20" customWidth="1"/>
    <col min="3" max="3" width="20.7109375" style="20" customWidth="1"/>
    <col min="4" max="4" width="12.7109375" style="20" customWidth="1"/>
    <col min="5" max="5" width="12.28515625" style="20" customWidth="1"/>
    <col min="6" max="6" width="18.85546875" style="20" customWidth="1"/>
    <col min="7" max="9" width="13.7109375" style="20" customWidth="1"/>
    <col min="10" max="10" width="15.7109375" style="20" customWidth="1"/>
    <col min="11" max="11" width="16.42578125" style="20" customWidth="1"/>
    <col min="12" max="12" width="15.7109375" style="20" customWidth="1"/>
    <col min="13" max="13" width="37.28515625" style="20" bestFit="1" customWidth="1"/>
    <col min="14" max="14" width="15" style="20" customWidth="1"/>
    <col min="15" max="15" width="15.28515625" style="20" customWidth="1"/>
    <col min="16" max="16" width="22.42578125" style="20" customWidth="1"/>
    <col min="17" max="17" width="20" style="20" customWidth="1"/>
    <col min="18" max="16384" width="9.140625" style="20"/>
  </cols>
  <sheetData>
    <row r="1" spans="1:17" ht="19.5" thickBot="1" x14ac:dyDescent="0.35">
      <c r="A1" s="1466" t="s">
        <v>591</v>
      </c>
      <c r="B1" s="1466"/>
      <c r="C1" s="1466"/>
      <c r="D1" s="1466"/>
      <c r="E1" s="1466"/>
      <c r="F1" s="1466"/>
      <c r="G1" s="1466"/>
      <c r="H1" s="1466"/>
      <c r="I1" s="1466"/>
      <c r="J1" s="1466"/>
      <c r="K1" s="1466"/>
      <c r="L1" s="1466"/>
      <c r="M1" s="1466"/>
      <c r="N1" s="1466"/>
      <c r="O1" s="1466"/>
      <c r="P1" s="1466"/>
      <c r="Q1" s="1467"/>
    </row>
    <row r="2" spans="1:17" s="102" customFormat="1" ht="18.75" thickBot="1" x14ac:dyDescent="0.3">
      <c r="A2" s="1468" t="s">
        <v>1</v>
      </c>
      <c r="B2" s="1233" t="s">
        <v>592</v>
      </c>
      <c r="C2" s="1470" t="s">
        <v>3</v>
      </c>
      <c r="D2" s="1235" t="s">
        <v>5</v>
      </c>
      <c r="E2" s="1235"/>
      <c r="F2" s="997"/>
      <c r="G2" s="1472" t="s">
        <v>7</v>
      </c>
      <c r="H2" s="1473"/>
      <c r="I2" s="1474"/>
      <c r="J2" s="1472" t="s">
        <v>109</v>
      </c>
      <c r="K2" s="1473"/>
      <c r="L2" s="1474"/>
      <c r="M2" s="997"/>
      <c r="N2" s="998"/>
      <c r="O2" s="999"/>
      <c r="P2" s="1000"/>
      <c r="Q2" s="1000"/>
    </row>
    <row r="3" spans="1:17" s="62" customFormat="1" ht="72.75" thickBot="1" x14ac:dyDescent="0.4">
      <c r="A3" s="1469"/>
      <c r="B3" s="1234"/>
      <c r="C3" s="1471"/>
      <c r="D3" s="950" t="s">
        <v>11</v>
      </c>
      <c r="E3" s="950" t="s">
        <v>92</v>
      </c>
      <c r="F3" s="1001" t="s">
        <v>593</v>
      </c>
      <c r="G3" s="1002" t="s">
        <v>594</v>
      </c>
      <c r="H3" s="988" t="s">
        <v>120</v>
      </c>
      <c r="I3" s="990" t="s">
        <v>595</v>
      </c>
      <c r="J3" s="1003" t="s">
        <v>594</v>
      </c>
      <c r="K3" s="1004" t="s">
        <v>120</v>
      </c>
      <c r="L3" s="1004" t="s">
        <v>595</v>
      </c>
      <c r="M3" s="1475" t="s">
        <v>596</v>
      </c>
      <c r="N3" s="1476"/>
      <c r="O3" s="1477" t="s">
        <v>9</v>
      </c>
      <c r="P3" s="1478"/>
      <c r="Q3" s="950" t="s">
        <v>10</v>
      </c>
    </row>
    <row r="4" spans="1:17" ht="66" x14ac:dyDescent="0.3">
      <c r="A4" s="515">
        <v>1</v>
      </c>
      <c r="B4" s="516" t="s">
        <v>597</v>
      </c>
      <c r="C4" s="517" t="s">
        <v>598</v>
      </c>
      <c r="D4" s="518">
        <v>4</v>
      </c>
      <c r="E4" s="518">
        <v>3</v>
      </c>
      <c r="F4" s="519">
        <v>7</v>
      </c>
      <c r="G4" s="520">
        <v>490</v>
      </c>
      <c r="H4" s="1081">
        <v>1300</v>
      </c>
      <c r="I4" s="1082">
        <v>2380</v>
      </c>
      <c r="J4" s="1007">
        <v>8340</v>
      </c>
      <c r="K4" s="1088">
        <v>9150</v>
      </c>
      <c r="L4" s="1088">
        <v>10230</v>
      </c>
      <c r="M4" s="521"/>
      <c r="N4" s="522"/>
      <c r="O4" s="523" t="s">
        <v>599</v>
      </c>
      <c r="P4" s="524" t="s">
        <v>600</v>
      </c>
      <c r="Q4" s="525">
        <v>46080</v>
      </c>
    </row>
    <row r="5" spans="1:17" ht="18" x14ac:dyDescent="0.3">
      <c r="A5" s="526">
        <v>2</v>
      </c>
      <c r="B5" s="527" t="s">
        <v>601</v>
      </c>
      <c r="C5" s="528" t="s">
        <v>602</v>
      </c>
      <c r="D5" s="529">
        <v>10</v>
      </c>
      <c r="E5" s="529">
        <v>3</v>
      </c>
      <c r="F5" s="530">
        <v>7</v>
      </c>
      <c r="G5" s="531">
        <v>1300</v>
      </c>
      <c r="H5" s="1083">
        <v>1840</v>
      </c>
      <c r="I5" s="1084">
        <f>2750*1.08</f>
        <v>2970</v>
      </c>
      <c r="J5" s="1008">
        <v>9940</v>
      </c>
      <c r="K5" s="1088">
        <v>10480</v>
      </c>
      <c r="L5" s="1088">
        <f>10750*1.08</f>
        <v>11610</v>
      </c>
      <c r="M5" s="532"/>
      <c r="N5" s="533"/>
      <c r="O5" s="523"/>
      <c r="P5" s="524"/>
      <c r="Q5" s="534">
        <v>46080</v>
      </c>
    </row>
    <row r="6" spans="1:17" ht="99" x14ac:dyDescent="0.3">
      <c r="A6" s="526">
        <v>3</v>
      </c>
      <c r="B6" s="535" t="s">
        <v>603</v>
      </c>
      <c r="C6" s="528" t="s">
        <v>604</v>
      </c>
      <c r="D6" s="529">
        <v>5</v>
      </c>
      <c r="E6" s="529">
        <v>3</v>
      </c>
      <c r="F6" s="530">
        <v>6</v>
      </c>
      <c r="G6" s="531">
        <v>490</v>
      </c>
      <c r="H6" s="1083">
        <f>1250*1.08</f>
        <v>1350</v>
      </c>
      <c r="I6" s="1084">
        <f>2250*1.08</f>
        <v>2430</v>
      </c>
      <c r="J6" s="1009">
        <f>9778*1.08</f>
        <v>10560.240000000002</v>
      </c>
      <c r="K6" s="1089">
        <v>11420</v>
      </c>
      <c r="L6" s="1088">
        <v>12500</v>
      </c>
      <c r="M6" s="536" t="s">
        <v>605</v>
      </c>
      <c r="N6" s="537" t="s">
        <v>606</v>
      </c>
      <c r="O6" s="523"/>
      <c r="P6" s="524"/>
      <c r="Q6" s="534">
        <v>46080</v>
      </c>
    </row>
    <row r="7" spans="1:17" ht="49.5" x14ac:dyDescent="0.3">
      <c r="A7" s="526">
        <v>4</v>
      </c>
      <c r="B7" s="527" t="s">
        <v>607</v>
      </c>
      <c r="C7" s="528" t="s">
        <v>608</v>
      </c>
      <c r="D7" s="529">
        <v>10</v>
      </c>
      <c r="E7" s="529">
        <v>3</v>
      </c>
      <c r="F7" s="530">
        <v>6</v>
      </c>
      <c r="G7" s="531">
        <f>1250*1.08</f>
        <v>1350</v>
      </c>
      <c r="H7" s="1083">
        <f>1750*1.08</f>
        <v>1890.0000000000002</v>
      </c>
      <c r="I7" s="1084">
        <v>3020</v>
      </c>
      <c r="J7" s="1007">
        <v>12120</v>
      </c>
      <c r="K7" s="1088">
        <v>12660</v>
      </c>
      <c r="L7" s="1088">
        <v>13800</v>
      </c>
      <c r="M7" s="538" t="s">
        <v>609</v>
      </c>
      <c r="N7" s="539"/>
      <c r="O7" s="523"/>
      <c r="P7" s="524"/>
      <c r="Q7" s="534">
        <v>46080</v>
      </c>
    </row>
    <row r="8" spans="1:17" ht="18" x14ac:dyDescent="0.3">
      <c r="A8" s="526">
        <v>5</v>
      </c>
      <c r="B8" s="535" t="s">
        <v>610</v>
      </c>
      <c r="C8" s="528" t="s">
        <v>611</v>
      </c>
      <c r="D8" s="529">
        <v>4</v>
      </c>
      <c r="E8" s="529">
        <v>3</v>
      </c>
      <c r="F8" s="530">
        <v>3</v>
      </c>
      <c r="G8" s="531">
        <f>2000*1.08</f>
        <v>2160</v>
      </c>
      <c r="H8" s="1083">
        <f>3000*1.08</f>
        <v>3240</v>
      </c>
      <c r="I8" s="1084">
        <f>4000*1.08</f>
        <v>4320</v>
      </c>
      <c r="J8" s="1007">
        <v>7100</v>
      </c>
      <c r="K8" s="1088">
        <v>8180</v>
      </c>
      <c r="L8" s="1088">
        <v>9260</v>
      </c>
      <c r="M8" s="540"/>
      <c r="N8" s="541"/>
      <c r="O8" s="523"/>
      <c r="P8" s="524"/>
      <c r="Q8" s="534">
        <v>46080</v>
      </c>
    </row>
    <row r="9" spans="1:17" ht="33" x14ac:dyDescent="0.3">
      <c r="A9" s="526">
        <v>6</v>
      </c>
      <c r="B9" s="535" t="s">
        <v>612</v>
      </c>
      <c r="C9" s="528" t="s">
        <v>604</v>
      </c>
      <c r="D9" s="529">
        <v>5</v>
      </c>
      <c r="E9" s="529">
        <v>3</v>
      </c>
      <c r="F9" s="530">
        <v>8</v>
      </c>
      <c r="G9" s="531">
        <v>2380</v>
      </c>
      <c r="H9" s="1085">
        <v>3460</v>
      </c>
      <c r="I9" s="1084">
        <v>4540</v>
      </c>
      <c r="J9" s="1010">
        <f>11528*1.08</f>
        <v>12450.240000000002</v>
      </c>
      <c r="K9" s="1089">
        <f>12528*1.08</f>
        <v>13530.240000000002</v>
      </c>
      <c r="L9" s="1090">
        <f>13528*1.08</f>
        <v>14610.240000000002</v>
      </c>
      <c r="M9" s="542" t="s">
        <v>613</v>
      </c>
      <c r="N9" s="543"/>
      <c r="O9" s="523"/>
      <c r="P9" s="524"/>
      <c r="Q9" s="544">
        <v>46080</v>
      </c>
    </row>
    <row r="10" spans="1:17" ht="50.25" thickBot="1" x14ac:dyDescent="0.35">
      <c r="A10" s="545">
        <v>7</v>
      </c>
      <c r="B10" s="546" t="s">
        <v>612</v>
      </c>
      <c r="C10" s="547" t="s">
        <v>604</v>
      </c>
      <c r="D10" s="548">
        <v>5</v>
      </c>
      <c r="E10" s="548">
        <v>3</v>
      </c>
      <c r="F10" s="549">
        <v>8</v>
      </c>
      <c r="G10" s="550">
        <f>3250*1.08</f>
        <v>3510.0000000000005</v>
      </c>
      <c r="H10" s="1086">
        <f>4250*1.08</f>
        <v>4590</v>
      </c>
      <c r="I10" s="1087">
        <f>5250*1.08</f>
        <v>5670</v>
      </c>
      <c r="J10" s="1011">
        <v>13580</v>
      </c>
      <c r="K10" s="1091">
        <v>14660</v>
      </c>
      <c r="L10" s="1092">
        <v>15740</v>
      </c>
      <c r="M10" s="551" t="s">
        <v>614</v>
      </c>
      <c r="N10" s="552"/>
      <c r="O10" s="553"/>
      <c r="P10" s="554"/>
      <c r="Q10" s="555">
        <v>46080</v>
      </c>
    </row>
    <row r="11" spans="1:17" ht="17.25" thickBot="1" x14ac:dyDescent="0.35">
      <c r="B11" s="556"/>
      <c r="C11" s="102"/>
      <c r="D11" s="78"/>
      <c r="E11" s="557"/>
      <c r="F11" s="557"/>
      <c r="G11" s="78"/>
      <c r="H11" s="557"/>
      <c r="I11" s="557"/>
      <c r="J11" s="558"/>
      <c r="K11" s="558"/>
    </row>
    <row r="12" spans="1:17" s="3" customFormat="1" ht="36.75" thickBot="1" x14ac:dyDescent="0.35">
      <c r="B12" s="1005" t="s">
        <v>615</v>
      </c>
      <c r="C12" s="1005" t="s">
        <v>155</v>
      </c>
      <c r="D12" s="1005" t="s">
        <v>124</v>
      </c>
      <c r="E12" s="1005" t="s">
        <v>124</v>
      </c>
      <c r="F12" s="1005" t="s">
        <v>616</v>
      </c>
      <c r="G12" s="1005" t="s">
        <v>617</v>
      </c>
      <c r="H12" s="1005" t="s">
        <v>618</v>
      </c>
      <c r="I12" s="1005" t="s">
        <v>8</v>
      </c>
      <c r="J12" s="1479" t="s">
        <v>9</v>
      </c>
      <c r="K12" s="1480"/>
      <c r="L12" s="1006"/>
    </row>
    <row r="13" spans="1:17" ht="135.75" thickBot="1" x14ac:dyDescent="0.35">
      <c r="B13" s="559" t="s">
        <v>619</v>
      </c>
      <c r="C13" s="560" t="s">
        <v>620</v>
      </c>
      <c r="D13" s="560">
        <v>2</v>
      </c>
      <c r="E13" s="560">
        <v>2</v>
      </c>
      <c r="F13" s="560" t="s">
        <v>621</v>
      </c>
      <c r="G13" s="561">
        <v>2147</v>
      </c>
      <c r="H13" s="562">
        <v>815</v>
      </c>
      <c r="I13" s="563" t="s">
        <v>596</v>
      </c>
      <c r="J13" s="564" t="s">
        <v>622</v>
      </c>
      <c r="K13" s="565" t="s">
        <v>623</v>
      </c>
      <c r="L13" s="1012" t="s">
        <v>624</v>
      </c>
    </row>
    <row r="14" spans="1:17" ht="17.25" thickBot="1" x14ac:dyDescent="0.35">
      <c r="B14" s="566"/>
      <c r="C14" s="566"/>
      <c r="D14" s="566"/>
      <c r="E14" s="566"/>
      <c r="F14" s="566"/>
      <c r="G14" s="566"/>
      <c r="H14" s="566"/>
    </row>
    <row r="15" spans="1:17" s="62" customFormat="1" ht="54.75" customHeight="1" thickBot="1" x14ac:dyDescent="0.4">
      <c r="B15" s="343" t="s">
        <v>77</v>
      </c>
      <c r="C15" s="1459" t="s">
        <v>625</v>
      </c>
      <c r="D15" s="1460"/>
    </row>
    <row r="16" spans="1:17" s="62" customFormat="1" ht="18" x14ac:dyDescent="0.35">
      <c r="B16" s="1013" t="s">
        <v>80</v>
      </c>
      <c r="C16" s="1451">
        <v>380</v>
      </c>
      <c r="D16" s="1452"/>
    </row>
    <row r="17" spans="1:15" s="62" customFormat="1" ht="18" x14ac:dyDescent="0.35">
      <c r="B17" s="1013" t="s">
        <v>81</v>
      </c>
      <c r="C17" s="1451">
        <v>485</v>
      </c>
      <c r="D17" s="1452"/>
    </row>
    <row r="18" spans="1:15" s="62" customFormat="1" ht="18" x14ac:dyDescent="0.35">
      <c r="B18" s="1014" t="s">
        <v>82</v>
      </c>
      <c r="C18" s="1451">
        <v>540</v>
      </c>
      <c r="D18" s="1452"/>
    </row>
    <row r="19" spans="1:15" s="62" customFormat="1" ht="18.75" thickBot="1" x14ac:dyDescent="0.4">
      <c r="B19" s="1015" t="s">
        <v>83</v>
      </c>
      <c r="C19" s="1449">
        <v>760</v>
      </c>
      <c r="D19" s="1450"/>
    </row>
    <row r="20" spans="1:15" s="62" customFormat="1" ht="18" x14ac:dyDescent="0.35">
      <c r="A20" s="20"/>
      <c r="H20" s="64"/>
      <c r="I20" s="64"/>
      <c r="J20" s="64"/>
      <c r="K20" s="3"/>
      <c r="L20" s="3"/>
    </row>
    <row r="21" spans="1:15" s="62" customFormat="1" ht="18" x14ac:dyDescent="0.35">
      <c r="B21" s="1200" t="s">
        <v>358</v>
      </c>
      <c r="C21" s="1200"/>
      <c r="D21" s="1200"/>
      <c r="E21" s="1200"/>
      <c r="F21" s="1200"/>
      <c r="G21" s="1200"/>
    </row>
    <row r="22" spans="1:15" ht="18.75" x14ac:dyDescent="0.3">
      <c r="B22" s="1182" t="s">
        <v>85</v>
      </c>
      <c r="C22" s="1182"/>
      <c r="D22" s="1182"/>
      <c r="E22" s="1182"/>
      <c r="F22" s="1182"/>
      <c r="G22" s="1182"/>
      <c r="H22" s="1182"/>
      <c r="I22" s="1182"/>
      <c r="J22" s="1182"/>
      <c r="K22" s="1182"/>
      <c r="L22" s="1182"/>
      <c r="M22" s="213"/>
      <c r="O22" s="65"/>
    </row>
    <row r="23" spans="1:15" ht="18.75" x14ac:dyDescent="0.3">
      <c r="B23" s="1463" t="s">
        <v>1239</v>
      </c>
      <c r="C23" s="1464"/>
      <c r="D23" s="1464"/>
      <c r="E23" s="1464"/>
      <c r="F23" s="1464"/>
      <c r="G23" s="1464"/>
      <c r="H23" s="1464"/>
      <c r="I23" s="1464"/>
      <c r="J23" s="1464"/>
      <c r="K23" s="1464"/>
      <c r="L23" s="1465"/>
      <c r="M23" s="213"/>
      <c r="O23" s="65"/>
    </row>
    <row r="24" spans="1:15" ht="61.5" customHeight="1" x14ac:dyDescent="0.3">
      <c r="B24" s="1178" t="s">
        <v>95</v>
      </c>
      <c r="C24" s="1178"/>
      <c r="D24" s="1178"/>
      <c r="E24" s="1178"/>
      <c r="F24" s="1178"/>
      <c r="G24" s="1178"/>
      <c r="H24" s="1178"/>
      <c r="I24" s="1178"/>
      <c r="J24" s="1178"/>
      <c r="K24" s="1178"/>
      <c r="L24" s="1178"/>
      <c r="M24" s="214"/>
      <c r="O24" s="65"/>
    </row>
    <row r="25" spans="1:15" ht="42" customHeight="1" x14ac:dyDescent="0.3">
      <c r="B25" s="1178" t="s">
        <v>96</v>
      </c>
      <c r="C25" s="1178"/>
      <c r="D25" s="1178"/>
      <c r="E25" s="1178"/>
      <c r="F25" s="1178"/>
      <c r="G25" s="1178"/>
      <c r="H25" s="1178"/>
      <c r="I25" s="1178"/>
      <c r="J25" s="1178"/>
      <c r="K25" s="1178"/>
      <c r="L25" s="1178"/>
      <c r="M25" s="214"/>
      <c r="O25" s="65"/>
    </row>
    <row r="26" spans="1:15" ht="18" x14ac:dyDescent="0.3">
      <c r="B26" s="1178" t="s">
        <v>97</v>
      </c>
      <c r="C26" s="1178"/>
      <c r="D26" s="1178"/>
      <c r="E26" s="1178"/>
      <c r="F26" s="1178"/>
      <c r="G26" s="1178"/>
      <c r="H26" s="1178"/>
      <c r="I26" s="1178"/>
      <c r="J26" s="1178"/>
      <c r="K26" s="1178"/>
      <c r="L26" s="1178"/>
      <c r="M26" s="214"/>
      <c r="O26" s="65"/>
    </row>
    <row r="27" spans="1:15" ht="57" customHeight="1" x14ac:dyDescent="0.3">
      <c r="B27" s="1178" t="s">
        <v>98</v>
      </c>
      <c r="C27" s="1178"/>
      <c r="D27" s="1178"/>
      <c r="E27" s="1178"/>
      <c r="F27" s="1178"/>
      <c r="G27" s="1178"/>
      <c r="H27" s="1178"/>
      <c r="I27" s="1178"/>
      <c r="J27" s="1178"/>
      <c r="K27" s="1178"/>
      <c r="L27" s="1178"/>
      <c r="M27" s="214"/>
      <c r="O27" s="65"/>
    </row>
    <row r="28" spans="1:15" ht="18" x14ac:dyDescent="0.3">
      <c r="B28" s="1178" t="s">
        <v>274</v>
      </c>
      <c r="C28" s="1178"/>
      <c r="D28" s="1178"/>
      <c r="E28" s="1178"/>
      <c r="F28" s="1178"/>
      <c r="G28" s="1178"/>
      <c r="H28" s="1178"/>
      <c r="I28" s="1178"/>
      <c r="J28" s="1178"/>
      <c r="K28" s="1178"/>
      <c r="L28" s="1178"/>
      <c r="M28" s="214"/>
      <c r="O28" s="65"/>
    </row>
    <row r="29" spans="1:15" ht="50.25" customHeight="1" x14ac:dyDescent="0.3">
      <c r="B29" s="1178" t="s">
        <v>101</v>
      </c>
      <c r="C29" s="1178"/>
      <c r="D29" s="1178"/>
      <c r="E29" s="1178"/>
      <c r="F29" s="1178"/>
      <c r="G29" s="1178"/>
      <c r="H29" s="1178"/>
      <c r="I29" s="1178"/>
      <c r="J29" s="1178"/>
      <c r="K29" s="1178"/>
      <c r="L29" s="1178"/>
      <c r="M29" s="214"/>
      <c r="O29" s="65"/>
    </row>
    <row r="30" spans="1:15" ht="57.75" customHeight="1" x14ac:dyDescent="0.3">
      <c r="B30" s="1178" t="s">
        <v>359</v>
      </c>
      <c r="C30" s="1178"/>
      <c r="D30" s="1178"/>
      <c r="E30" s="1178"/>
      <c r="F30" s="1178"/>
      <c r="G30" s="1178"/>
      <c r="H30" s="1178"/>
      <c r="I30" s="1178"/>
      <c r="J30" s="1178"/>
      <c r="K30" s="1178"/>
      <c r="L30" s="1178"/>
      <c r="M30" s="214"/>
      <c r="O30" s="65"/>
    </row>
    <row r="31" spans="1:15" ht="18" x14ac:dyDescent="0.3">
      <c r="B31" s="1211"/>
      <c r="C31" s="1212"/>
      <c r="D31" s="1212"/>
      <c r="E31" s="1212"/>
      <c r="F31" s="1212"/>
      <c r="G31" s="1212"/>
      <c r="H31" s="1212"/>
      <c r="I31" s="1212"/>
      <c r="J31" s="1212"/>
      <c r="K31" s="1212"/>
      <c r="L31" s="1212"/>
      <c r="M31" s="1295"/>
      <c r="O31" s="65"/>
    </row>
    <row r="32" spans="1:15" ht="18.75" x14ac:dyDescent="0.35">
      <c r="B32" s="1213" t="s">
        <v>86</v>
      </c>
      <c r="C32" s="1213"/>
      <c r="D32" s="1213"/>
      <c r="E32" s="1213"/>
      <c r="F32" s="1213"/>
      <c r="G32" s="1213"/>
      <c r="H32" s="63"/>
      <c r="I32" s="64"/>
      <c r="J32" s="64"/>
      <c r="K32" s="64"/>
      <c r="L32" s="3"/>
      <c r="M32" s="3"/>
      <c r="O32" s="65"/>
    </row>
    <row r="33" spans="2:17" ht="119.25" customHeight="1" x14ac:dyDescent="0.35">
      <c r="B33" s="1177" t="s">
        <v>626</v>
      </c>
      <c r="C33" s="1177"/>
      <c r="D33" s="1177"/>
      <c r="E33" s="1177"/>
      <c r="F33" s="1177"/>
      <c r="G33" s="1177"/>
      <c r="H33" s="63"/>
      <c r="I33" s="64"/>
      <c r="J33" s="64"/>
      <c r="K33" s="64"/>
      <c r="L33" s="3"/>
      <c r="M33" s="3"/>
      <c r="O33" s="65"/>
    </row>
    <row r="34" spans="2:17" ht="18" x14ac:dyDescent="0.35">
      <c r="B34" s="1177" t="s">
        <v>627</v>
      </c>
      <c r="C34" s="1177"/>
      <c r="D34" s="1177"/>
      <c r="E34" s="1177"/>
      <c r="F34" s="1177"/>
      <c r="G34" s="1177"/>
      <c r="H34" s="63"/>
      <c r="I34" s="64"/>
      <c r="J34" s="64"/>
      <c r="K34" s="64"/>
      <c r="L34" s="3"/>
      <c r="M34" s="3"/>
    </row>
    <row r="35" spans="2:17" ht="45.75" customHeight="1" x14ac:dyDescent="0.35">
      <c r="B35" s="1177" t="s">
        <v>628</v>
      </c>
      <c r="C35" s="1177"/>
      <c r="D35" s="1177"/>
      <c r="E35" s="1177"/>
      <c r="F35" s="1177"/>
      <c r="G35" s="1177"/>
      <c r="H35" s="63"/>
      <c r="I35" s="64"/>
      <c r="J35" s="64"/>
      <c r="K35" s="64"/>
      <c r="L35" s="3"/>
      <c r="M35" s="3"/>
    </row>
    <row r="36" spans="2:17" ht="48" customHeight="1" x14ac:dyDescent="0.35">
      <c r="B36" s="1177" t="s">
        <v>89</v>
      </c>
      <c r="C36" s="1177"/>
      <c r="D36" s="1177"/>
      <c r="E36" s="1177"/>
      <c r="F36" s="1177"/>
      <c r="G36" s="1177"/>
      <c r="H36" s="63"/>
      <c r="I36" s="64"/>
      <c r="J36" s="64"/>
      <c r="K36" s="64"/>
      <c r="L36" s="3"/>
      <c r="M36" s="3"/>
      <c r="Q36" s="65"/>
    </row>
    <row r="37" spans="2:17" ht="18" x14ac:dyDescent="0.35">
      <c r="B37" s="1177" t="s">
        <v>90</v>
      </c>
      <c r="C37" s="1177"/>
      <c r="D37" s="1177"/>
      <c r="E37" s="1177"/>
      <c r="F37" s="1177"/>
      <c r="G37" s="1177"/>
      <c r="H37" s="63"/>
      <c r="I37" s="64"/>
      <c r="J37" s="64"/>
      <c r="K37" s="64"/>
      <c r="L37" s="3"/>
      <c r="M37" s="3"/>
      <c r="Q37" s="65"/>
    </row>
    <row r="38" spans="2:17" ht="18" x14ac:dyDescent="0.3">
      <c r="B38" s="1177" t="s">
        <v>278</v>
      </c>
      <c r="C38" s="1177"/>
      <c r="D38" s="1177"/>
      <c r="E38" s="1177"/>
      <c r="F38" s="1177"/>
      <c r="G38" s="1177"/>
      <c r="H38" s="3"/>
      <c r="I38" s="3"/>
      <c r="J38" s="64"/>
      <c r="K38" s="64"/>
      <c r="L38" s="3"/>
      <c r="M38" s="3"/>
      <c r="Q38" s="65"/>
    </row>
    <row r="39" spans="2:17" x14ac:dyDescent="0.3">
      <c r="B39" s="566"/>
      <c r="C39" s="566"/>
      <c r="D39" s="566"/>
      <c r="E39" s="566"/>
      <c r="F39" s="566"/>
      <c r="G39" s="566"/>
      <c r="H39" s="566"/>
    </row>
    <row r="40" spans="2:17" x14ac:dyDescent="0.3">
      <c r="E40" s="566"/>
      <c r="F40" s="566"/>
      <c r="G40" s="566"/>
      <c r="H40" s="566"/>
    </row>
    <row r="41" spans="2:17" x14ac:dyDescent="0.3">
      <c r="B41" s="566"/>
      <c r="C41" s="566"/>
      <c r="D41" s="566"/>
      <c r="E41" s="566"/>
      <c r="F41" s="566"/>
      <c r="G41" s="566"/>
      <c r="H41" s="566"/>
    </row>
    <row r="42" spans="2:17" x14ac:dyDescent="0.3">
      <c r="B42" s="566"/>
      <c r="C42" s="566"/>
      <c r="D42" s="566"/>
      <c r="E42" s="566"/>
      <c r="F42" s="566"/>
      <c r="G42" s="566"/>
      <c r="H42" s="566"/>
    </row>
  </sheetData>
  <mergeCells count="33">
    <mergeCell ref="C19:D19"/>
    <mergeCell ref="A1:Q1"/>
    <mergeCell ref="A2:A3"/>
    <mergeCell ref="B2:B3"/>
    <mergeCell ref="C2:C3"/>
    <mergeCell ref="D2:E2"/>
    <mergeCell ref="G2:I2"/>
    <mergeCell ref="J2:L2"/>
    <mergeCell ref="M3:N3"/>
    <mergeCell ref="O3:P3"/>
    <mergeCell ref="J12:K12"/>
    <mergeCell ref="C15:D15"/>
    <mergeCell ref="C16:D16"/>
    <mergeCell ref="C17:D17"/>
    <mergeCell ref="C18:D18"/>
    <mergeCell ref="B33:G33"/>
    <mergeCell ref="B21:G21"/>
    <mergeCell ref="B22:L22"/>
    <mergeCell ref="B24:L24"/>
    <mergeCell ref="B25:L25"/>
    <mergeCell ref="B26:L26"/>
    <mergeCell ref="B27:L27"/>
    <mergeCell ref="B28:L28"/>
    <mergeCell ref="B29:L29"/>
    <mergeCell ref="B30:L30"/>
    <mergeCell ref="B31:M31"/>
    <mergeCell ref="B32:G32"/>
    <mergeCell ref="B23:L23"/>
    <mergeCell ref="B34:G34"/>
    <mergeCell ref="B35:G35"/>
    <mergeCell ref="B36:G36"/>
    <mergeCell ref="B37:G37"/>
    <mergeCell ref="B38:G3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104A-D1CE-48EC-94A3-41C9BB13B8F4}">
  <dimension ref="A1:G32"/>
  <sheetViews>
    <sheetView topLeftCell="A5" workbookViewId="0">
      <selection activeCell="C13" sqref="C13"/>
    </sheetView>
  </sheetViews>
  <sheetFormatPr defaultRowHeight="15" x14ac:dyDescent="0.25"/>
  <cols>
    <col min="1" max="1" width="46.42578125" customWidth="1"/>
    <col min="2" max="2" width="17" customWidth="1"/>
    <col min="4" max="4" width="12.140625" customWidth="1"/>
    <col min="5" max="5" width="17" customWidth="1"/>
    <col min="6" max="6" width="38.28515625" customWidth="1"/>
    <col min="7" max="7" width="18.140625" customWidth="1"/>
  </cols>
  <sheetData>
    <row r="1" spans="1:6" hidden="1" x14ac:dyDescent="0.25"/>
    <row r="2" spans="1:6" hidden="1" x14ac:dyDescent="0.25"/>
    <row r="3" spans="1:6" hidden="1" x14ac:dyDescent="0.25"/>
    <row r="4" spans="1:6" hidden="1" x14ac:dyDescent="0.25"/>
    <row r="5" spans="1:6" ht="16.5" x14ac:dyDescent="0.3">
      <c r="A5" s="1484" t="s">
        <v>629</v>
      </c>
      <c r="B5" s="1485"/>
      <c r="C5" s="1485"/>
      <c r="D5" s="1485"/>
      <c r="E5" s="1485"/>
      <c r="F5" s="1485"/>
    </row>
    <row r="6" spans="1:6" ht="18" x14ac:dyDescent="0.35">
      <c r="A6" s="1043" t="s">
        <v>630</v>
      </c>
      <c r="B6" s="1043"/>
      <c r="C6" s="1044" t="s">
        <v>155</v>
      </c>
      <c r="D6" s="1045" t="s">
        <v>7</v>
      </c>
      <c r="E6" s="1046" t="s">
        <v>109</v>
      </c>
      <c r="F6" s="1046" t="s">
        <v>9</v>
      </c>
    </row>
    <row r="7" spans="1:6" ht="49.5" x14ac:dyDescent="0.3">
      <c r="A7" s="567" t="s">
        <v>631</v>
      </c>
      <c r="B7" s="53" t="s">
        <v>632</v>
      </c>
      <c r="C7" s="53" t="s">
        <v>633</v>
      </c>
      <c r="D7" s="568">
        <v>885</v>
      </c>
      <c r="E7" s="569">
        <v>995</v>
      </c>
      <c r="F7" s="570" t="s">
        <v>634</v>
      </c>
    </row>
    <row r="8" spans="1:6" ht="18" x14ac:dyDescent="0.3">
      <c r="A8" s="567" t="s">
        <v>635</v>
      </c>
      <c r="B8" s="53" t="s">
        <v>632</v>
      </c>
      <c r="C8" s="53" t="s">
        <v>636</v>
      </c>
      <c r="D8" s="571">
        <v>795</v>
      </c>
      <c r="E8" s="569">
        <v>1355</v>
      </c>
      <c r="F8" s="572"/>
    </row>
    <row r="9" spans="1:6" ht="33" x14ac:dyDescent="0.3">
      <c r="A9" s="567" t="s">
        <v>637</v>
      </c>
      <c r="B9" s="53" t="s">
        <v>16</v>
      </c>
      <c r="C9" s="53"/>
      <c r="D9" s="571">
        <v>652</v>
      </c>
      <c r="E9" s="569">
        <v>677</v>
      </c>
      <c r="F9" s="570" t="s">
        <v>638</v>
      </c>
    </row>
    <row r="10" spans="1:6" ht="18" x14ac:dyDescent="0.3">
      <c r="A10" s="567" t="s">
        <v>639</v>
      </c>
      <c r="B10" s="53" t="s">
        <v>632</v>
      </c>
      <c r="C10" s="53" t="s">
        <v>636</v>
      </c>
      <c r="D10" s="571">
        <v>1000</v>
      </c>
      <c r="E10" s="569">
        <v>1300</v>
      </c>
      <c r="F10" s="572" t="s">
        <v>640</v>
      </c>
    </row>
    <row r="11" spans="1:6" ht="33" x14ac:dyDescent="0.3">
      <c r="A11" s="573" t="s">
        <v>641</v>
      </c>
      <c r="B11" s="53" t="s">
        <v>632</v>
      </c>
      <c r="C11" s="53" t="s">
        <v>636</v>
      </c>
      <c r="D11" s="571">
        <v>1200</v>
      </c>
      <c r="E11" s="569">
        <v>1760</v>
      </c>
      <c r="F11" s="572" t="s">
        <v>642</v>
      </c>
    </row>
    <row r="12" spans="1:6" ht="18" x14ac:dyDescent="0.3">
      <c r="A12" s="567" t="s">
        <v>643</v>
      </c>
      <c r="B12" s="53" t="s">
        <v>632</v>
      </c>
      <c r="C12" s="53" t="s">
        <v>636</v>
      </c>
      <c r="D12" s="571">
        <v>1077</v>
      </c>
      <c r="E12" s="569">
        <v>1638</v>
      </c>
      <c r="F12" s="572" t="s">
        <v>642</v>
      </c>
    </row>
    <row r="13" spans="1:6" ht="33" x14ac:dyDescent="0.3">
      <c r="A13" s="574" t="s">
        <v>644</v>
      </c>
      <c r="B13" s="53" t="s">
        <v>645</v>
      </c>
      <c r="C13" s="53" t="s">
        <v>646</v>
      </c>
      <c r="D13" s="571">
        <v>1175</v>
      </c>
      <c r="E13" s="569">
        <v>2700</v>
      </c>
      <c r="F13" s="570" t="s">
        <v>647</v>
      </c>
    </row>
    <row r="14" spans="1:6" ht="18" x14ac:dyDescent="0.3">
      <c r="A14" s="575" t="s">
        <v>648</v>
      </c>
      <c r="B14" s="576" t="s">
        <v>632</v>
      </c>
      <c r="C14" s="577" t="s">
        <v>636</v>
      </c>
      <c r="D14" s="571">
        <v>740</v>
      </c>
      <c r="E14" s="569">
        <v>1300</v>
      </c>
      <c r="F14" s="572" t="s">
        <v>642</v>
      </c>
    </row>
    <row r="15" spans="1:6" ht="17.25" thickBot="1" x14ac:dyDescent="0.35">
      <c r="A15" s="20"/>
      <c r="B15" s="20"/>
      <c r="C15" s="20"/>
      <c r="D15" s="20"/>
      <c r="E15" s="20"/>
    </row>
    <row r="16" spans="1:6" ht="16.5" x14ac:dyDescent="0.3">
      <c r="A16" s="1047" t="s">
        <v>649</v>
      </c>
      <c r="B16" s="1048"/>
      <c r="C16" s="1048"/>
      <c r="D16" s="1048"/>
      <c r="E16" s="1049"/>
      <c r="F16" s="1050"/>
    </row>
    <row r="17" spans="1:7" ht="16.5" x14ac:dyDescent="0.3">
      <c r="A17" s="578" t="s">
        <v>650</v>
      </c>
      <c r="B17" s="173"/>
      <c r="C17" s="173"/>
      <c r="D17" s="173"/>
      <c r="E17" s="173"/>
      <c r="F17" s="579"/>
    </row>
    <row r="18" spans="1:7" ht="17.25" thickBot="1" x14ac:dyDescent="0.35">
      <c r="A18" s="580" t="s">
        <v>651</v>
      </c>
      <c r="B18" s="581"/>
      <c r="C18" s="581"/>
      <c r="D18" s="581"/>
      <c r="E18" s="581"/>
      <c r="F18" s="582"/>
    </row>
    <row r="20" spans="1:7" ht="9" customHeight="1" x14ac:dyDescent="0.25"/>
    <row r="21" spans="1:7" hidden="1" x14ac:dyDescent="0.25"/>
    <row r="22" spans="1:7" hidden="1" x14ac:dyDescent="0.25"/>
    <row r="23" spans="1:7" hidden="1" x14ac:dyDescent="0.25"/>
    <row r="24" spans="1:7" ht="16.5" thickBot="1" x14ac:dyDescent="0.3">
      <c r="A24" s="597" t="s">
        <v>652</v>
      </c>
    </row>
    <row r="25" spans="1:7" ht="14.25" hidden="1" customHeight="1" x14ac:dyDescent="0.25"/>
    <row r="26" spans="1:7" ht="111" customHeight="1" x14ac:dyDescent="0.25">
      <c r="A26" s="598" t="s">
        <v>653</v>
      </c>
      <c r="B26" s="599" t="s">
        <v>654</v>
      </c>
      <c r="C26" s="583"/>
      <c r="D26" s="1016">
        <v>1150</v>
      </c>
      <c r="E26" s="1486" t="s">
        <v>655</v>
      </c>
      <c r="F26" s="1487"/>
      <c r="G26" s="1488" t="s">
        <v>656</v>
      </c>
    </row>
    <row r="27" spans="1:7" ht="33" x14ac:dyDescent="0.3">
      <c r="A27" s="584" t="s">
        <v>657</v>
      </c>
      <c r="B27" s="600" t="s">
        <v>658</v>
      </c>
      <c r="C27" s="585"/>
      <c r="D27" s="1017" t="s">
        <v>659</v>
      </c>
      <c r="E27" s="1491"/>
      <c r="F27" s="1491"/>
      <c r="G27" s="1489"/>
    </row>
    <row r="28" spans="1:7" ht="50.25" thickBot="1" x14ac:dyDescent="0.35">
      <c r="A28" s="586" t="s">
        <v>660</v>
      </c>
      <c r="B28" s="601" t="s">
        <v>658</v>
      </c>
      <c r="C28" s="587"/>
      <c r="D28" s="1018" t="s">
        <v>661</v>
      </c>
      <c r="E28" s="1492"/>
      <c r="F28" s="1492"/>
      <c r="G28" s="1490"/>
    </row>
    <row r="30" spans="1:7" ht="17.25" thickBot="1" x14ac:dyDescent="0.35">
      <c r="A30" s="588" t="s">
        <v>662</v>
      </c>
      <c r="B30" s="1"/>
      <c r="C30" s="1"/>
      <c r="D30" s="305"/>
      <c r="E30" s="305"/>
      <c r="F30" s="305"/>
      <c r="G30" s="305"/>
    </row>
    <row r="31" spans="1:7" ht="16.5" x14ac:dyDescent="0.3">
      <c r="A31" s="589" t="s">
        <v>663</v>
      </c>
      <c r="B31" s="590"/>
      <c r="C31" s="590"/>
      <c r="D31" s="591">
        <v>100</v>
      </c>
      <c r="E31" s="590" t="s">
        <v>664</v>
      </c>
      <c r="F31" s="592"/>
      <c r="G31" s="593"/>
    </row>
    <row r="32" spans="1:7" ht="17.25" thickBot="1" x14ac:dyDescent="0.35">
      <c r="A32" s="594" t="s">
        <v>665</v>
      </c>
      <c r="B32" s="595"/>
      <c r="C32" s="595"/>
      <c r="D32" s="596">
        <v>250</v>
      </c>
      <c r="E32" s="1481" t="s">
        <v>666</v>
      </c>
      <c r="F32" s="1482"/>
      <c r="G32" s="1483"/>
    </row>
  </sheetData>
  <mergeCells count="6">
    <mergeCell ref="E32:G32"/>
    <mergeCell ref="A5:F5"/>
    <mergeCell ref="E26:F26"/>
    <mergeCell ref="G26:G28"/>
    <mergeCell ref="E27:F27"/>
    <mergeCell ref="E28:F2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0B5F-1C16-4937-A997-45B9B57BCB2D}">
  <dimension ref="A1:J23"/>
  <sheetViews>
    <sheetView workbookViewId="0">
      <selection activeCell="A6" sqref="A6"/>
    </sheetView>
  </sheetViews>
  <sheetFormatPr defaultColWidth="9.140625" defaultRowHeight="21" x14ac:dyDescent="0.35"/>
  <cols>
    <col min="1" max="1" width="84.140625" style="602" customWidth="1"/>
    <col min="2" max="2" width="8.28515625" style="602" bestFit="1" customWidth="1"/>
    <col min="3" max="3" width="10.5703125" style="602" bestFit="1" customWidth="1"/>
    <col min="4" max="4" width="7.5703125" style="603" customWidth="1"/>
    <col min="5" max="5" width="19.140625" style="602" bestFit="1" customWidth="1"/>
    <col min="6" max="6" width="12.5703125" style="602" customWidth="1"/>
    <col min="7" max="7" width="21.140625" style="602" customWidth="1"/>
    <col min="8" max="8" width="54.42578125" style="602" customWidth="1"/>
    <col min="9" max="9" width="18.42578125" style="602" customWidth="1"/>
    <col min="10" max="10" width="34" style="602" customWidth="1"/>
    <col min="11" max="16384" width="9.140625" style="602"/>
  </cols>
  <sheetData>
    <row r="1" spans="1:10" ht="21.75" thickBot="1" x14ac:dyDescent="0.4">
      <c r="A1" s="1493" t="s">
        <v>667</v>
      </c>
      <c r="B1" s="1494"/>
      <c r="C1" s="1494"/>
      <c r="D1" s="1494"/>
      <c r="E1" s="1494"/>
      <c r="F1" s="1494"/>
      <c r="G1" s="1494"/>
      <c r="H1" s="1494"/>
      <c r="I1" s="1494"/>
    </row>
    <row r="2" spans="1:10" ht="33.75" thickBot="1" x14ac:dyDescent="0.4">
      <c r="A2" s="1051" t="s">
        <v>2</v>
      </c>
      <c r="B2" s="1052" t="s">
        <v>83</v>
      </c>
      <c r="C2" s="1052" t="s">
        <v>3</v>
      </c>
      <c r="D2" s="1052" t="s">
        <v>105</v>
      </c>
      <c r="E2" s="1053" t="s">
        <v>109</v>
      </c>
      <c r="F2" s="1053" t="s">
        <v>668</v>
      </c>
      <c r="G2" s="1054" t="s">
        <v>1218</v>
      </c>
      <c r="H2" s="1055" t="s">
        <v>8</v>
      </c>
      <c r="I2" s="1056" t="s">
        <v>669</v>
      </c>
    </row>
    <row r="3" spans="1:10" x14ac:dyDescent="0.35">
      <c r="A3" s="611" t="s">
        <v>1210</v>
      </c>
      <c r="B3" s="612"/>
      <c r="C3" s="613" t="s">
        <v>671</v>
      </c>
      <c r="D3" s="614">
        <v>3</v>
      </c>
      <c r="E3" s="615">
        <v>3250</v>
      </c>
      <c r="F3" s="1020"/>
      <c r="G3" s="609">
        <v>2250</v>
      </c>
      <c r="H3" s="1023" t="s">
        <v>672</v>
      </c>
      <c r="I3" s="616"/>
      <c r="J3" s="602" t="s">
        <v>673</v>
      </c>
    </row>
    <row r="4" spans="1:10" x14ac:dyDescent="0.35">
      <c r="A4" s="619" t="s">
        <v>1211</v>
      </c>
      <c r="B4" s="620"/>
      <c r="C4" s="613" t="s">
        <v>671</v>
      </c>
      <c r="D4" s="614">
        <v>1</v>
      </c>
      <c r="E4" s="615">
        <v>5540</v>
      </c>
      <c r="F4" s="1020" t="s">
        <v>675</v>
      </c>
      <c r="G4" s="609">
        <v>4250</v>
      </c>
      <c r="H4" s="1023" t="s">
        <v>676</v>
      </c>
      <c r="I4" s="616"/>
    </row>
    <row r="5" spans="1:10" ht="33" x14ac:dyDescent="0.35">
      <c r="A5" s="611" t="s">
        <v>677</v>
      </c>
      <c r="B5" s="612"/>
      <c r="C5" s="614" t="s">
        <v>678</v>
      </c>
      <c r="D5" s="612">
        <v>1</v>
      </c>
      <c r="E5" s="615">
        <v>1200</v>
      </c>
      <c r="F5" s="1020" t="s">
        <v>674</v>
      </c>
      <c r="G5" s="609">
        <v>1000</v>
      </c>
      <c r="H5" s="1023" t="s">
        <v>672</v>
      </c>
      <c r="I5" s="616"/>
    </row>
    <row r="6" spans="1:10" x14ac:dyDescent="0.35">
      <c r="A6" s="619" t="s">
        <v>679</v>
      </c>
      <c r="B6" s="621">
        <v>1</v>
      </c>
      <c r="C6" s="614" t="s">
        <v>680</v>
      </c>
      <c r="D6" s="614">
        <v>3</v>
      </c>
      <c r="E6" s="615">
        <v>3500</v>
      </c>
      <c r="F6" s="1020" t="s">
        <v>674</v>
      </c>
      <c r="G6" s="609">
        <v>3400</v>
      </c>
      <c r="H6" s="1023" t="s">
        <v>681</v>
      </c>
      <c r="I6" s="616"/>
    </row>
    <row r="7" spans="1:10" x14ac:dyDescent="0.35">
      <c r="A7" s="622" t="s">
        <v>682</v>
      </c>
      <c r="B7" s="614">
        <v>1</v>
      </c>
      <c r="C7" s="614" t="s">
        <v>683</v>
      </c>
      <c r="D7" s="614">
        <v>3</v>
      </c>
      <c r="E7" s="615">
        <v>5000</v>
      </c>
      <c r="F7" s="1020" t="s">
        <v>674</v>
      </c>
      <c r="G7" s="609">
        <v>4200</v>
      </c>
      <c r="H7" s="1023" t="s">
        <v>672</v>
      </c>
      <c r="I7" s="618"/>
    </row>
    <row r="8" spans="1:10" x14ac:dyDescent="0.35">
      <c r="A8" s="622" t="s">
        <v>684</v>
      </c>
      <c r="B8" s="614">
        <v>1</v>
      </c>
      <c r="C8" s="614" t="s">
        <v>683</v>
      </c>
      <c r="D8" s="614">
        <v>3</v>
      </c>
      <c r="E8" s="615">
        <v>6200</v>
      </c>
      <c r="F8" s="1020" t="s">
        <v>675</v>
      </c>
      <c r="G8" s="609">
        <v>6300</v>
      </c>
      <c r="H8" s="1023" t="s">
        <v>1212</v>
      </c>
      <c r="I8" s="616"/>
    </row>
    <row r="9" spans="1:10" x14ac:dyDescent="0.35">
      <c r="A9" s="622" t="s">
        <v>685</v>
      </c>
      <c r="B9" s="614">
        <v>2</v>
      </c>
      <c r="C9" s="614" t="s">
        <v>683</v>
      </c>
      <c r="D9" s="614">
        <v>5</v>
      </c>
      <c r="E9" s="615">
        <v>7500</v>
      </c>
      <c r="F9" s="1020" t="s">
        <v>674</v>
      </c>
      <c r="G9" s="609">
        <v>6000</v>
      </c>
      <c r="H9" s="1023" t="s">
        <v>672</v>
      </c>
      <c r="I9" s="618"/>
    </row>
    <row r="10" spans="1:10" x14ac:dyDescent="0.35">
      <c r="A10" s="622" t="s">
        <v>686</v>
      </c>
      <c r="B10" s="614">
        <v>2</v>
      </c>
      <c r="C10" s="614" t="s">
        <v>683</v>
      </c>
      <c r="D10" s="614">
        <v>5</v>
      </c>
      <c r="E10" s="615">
        <v>9800</v>
      </c>
      <c r="F10" s="1020" t="s">
        <v>675</v>
      </c>
      <c r="G10" s="609">
        <v>8300</v>
      </c>
      <c r="H10" s="1023" t="s">
        <v>1212</v>
      </c>
      <c r="I10" s="616"/>
    </row>
    <row r="11" spans="1:10" x14ac:dyDescent="0.35">
      <c r="A11" s="622" t="s">
        <v>687</v>
      </c>
      <c r="B11" s="614">
        <v>3</v>
      </c>
      <c r="C11" s="614" t="s">
        <v>683</v>
      </c>
      <c r="D11" s="614">
        <v>8</v>
      </c>
      <c r="E11" s="615">
        <v>7300</v>
      </c>
      <c r="F11" s="1020" t="s">
        <v>674</v>
      </c>
      <c r="G11" s="609">
        <v>7300</v>
      </c>
      <c r="H11" s="1023" t="s">
        <v>672</v>
      </c>
      <c r="I11" s="618"/>
    </row>
    <row r="12" spans="1:10" x14ac:dyDescent="0.35">
      <c r="A12" s="622" t="s">
        <v>688</v>
      </c>
      <c r="B12" s="614">
        <v>3</v>
      </c>
      <c r="C12" s="614" t="s">
        <v>683</v>
      </c>
      <c r="D12" s="614">
        <v>8</v>
      </c>
      <c r="E12" s="615">
        <v>12000</v>
      </c>
      <c r="F12" s="1020" t="s">
        <v>675</v>
      </c>
      <c r="G12" s="609">
        <v>10000</v>
      </c>
      <c r="H12" s="1023" t="s">
        <v>1212</v>
      </c>
      <c r="I12" s="616"/>
    </row>
    <row r="13" spans="1:10" x14ac:dyDescent="0.35">
      <c r="A13" s="611" t="s">
        <v>689</v>
      </c>
      <c r="B13" s="612"/>
      <c r="C13" s="613" t="s">
        <v>671</v>
      </c>
      <c r="D13" s="614">
        <v>2</v>
      </c>
      <c r="E13" s="615">
        <v>1850</v>
      </c>
      <c r="F13" s="1020" t="s">
        <v>674</v>
      </c>
      <c r="G13" s="609">
        <v>1000</v>
      </c>
      <c r="H13" s="1023" t="s">
        <v>672</v>
      </c>
      <c r="I13" s="616"/>
    </row>
    <row r="14" spans="1:10" ht="33" x14ac:dyDescent="0.35">
      <c r="A14" s="623" t="s">
        <v>690</v>
      </c>
      <c r="B14" s="612"/>
      <c r="C14" s="613" t="s">
        <v>1231</v>
      </c>
      <c r="D14" s="614">
        <v>3</v>
      </c>
      <c r="E14" s="615">
        <v>3400</v>
      </c>
      <c r="F14" s="1020" t="s">
        <v>674</v>
      </c>
      <c r="G14" s="624">
        <v>2600</v>
      </c>
      <c r="H14" s="1023" t="s">
        <v>1230</v>
      </c>
      <c r="I14" s="614"/>
    </row>
    <row r="15" spans="1:10" x14ac:dyDescent="0.35">
      <c r="A15" s="604" t="s">
        <v>670</v>
      </c>
      <c r="B15" s="605"/>
      <c r="C15" s="606" t="s">
        <v>671</v>
      </c>
      <c r="D15" s="607">
        <v>1</v>
      </c>
      <c r="E15" s="608">
        <v>2500</v>
      </c>
      <c r="F15" s="1019" t="s">
        <v>674</v>
      </c>
      <c r="G15" s="609">
        <v>1300</v>
      </c>
      <c r="H15" s="1022" t="s">
        <v>672</v>
      </c>
      <c r="I15" s="610"/>
    </row>
    <row r="16" spans="1:10" ht="33" x14ac:dyDescent="0.35">
      <c r="A16" s="623" t="s">
        <v>1213</v>
      </c>
      <c r="B16" s="617"/>
      <c r="C16" s="612"/>
      <c r="D16" s="612">
        <v>3</v>
      </c>
      <c r="E16" s="1021"/>
      <c r="F16" s="1136"/>
      <c r="G16" s="624">
        <v>7600</v>
      </c>
      <c r="H16" s="1023" t="s">
        <v>1214</v>
      </c>
      <c r="I16" s="620" t="s">
        <v>517</v>
      </c>
    </row>
    <row r="17" spans="1:9" ht="33" x14ac:dyDescent="0.35">
      <c r="A17" s="623" t="s">
        <v>1215</v>
      </c>
      <c r="B17" s="612"/>
      <c r="C17" s="613"/>
      <c r="D17" s="614">
        <v>3</v>
      </c>
      <c r="E17" s="615"/>
      <c r="F17" s="1020"/>
      <c r="G17" s="624">
        <v>8000</v>
      </c>
      <c r="H17" s="1023" t="s">
        <v>1214</v>
      </c>
      <c r="I17" s="614" t="s">
        <v>517</v>
      </c>
    </row>
    <row r="18" spans="1:9" x14ac:dyDescent="0.35">
      <c r="A18" s="623" t="s">
        <v>1216</v>
      </c>
      <c r="B18" s="612"/>
      <c r="C18" s="613"/>
      <c r="D18" s="614">
        <v>1</v>
      </c>
      <c r="E18" s="615">
        <v>900</v>
      </c>
      <c r="F18" s="1020" t="s">
        <v>674</v>
      </c>
      <c r="G18" s="624">
        <v>2100</v>
      </c>
      <c r="H18" s="1023" t="s">
        <v>1214</v>
      </c>
      <c r="I18" s="614" t="s">
        <v>517</v>
      </c>
    </row>
    <row r="19" spans="1:9" x14ac:dyDescent="0.35">
      <c r="A19" s="623" t="s">
        <v>1217</v>
      </c>
      <c r="B19" s="612"/>
      <c r="C19" s="613"/>
      <c r="D19" s="614">
        <v>1</v>
      </c>
      <c r="E19" s="615">
        <f>E18</f>
        <v>900</v>
      </c>
      <c r="F19" s="1020" t="s">
        <v>674</v>
      </c>
      <c r="G19" s="624">
        <v>2500</v>
      </c>
      <c r="H19" s="1023" t="s">
        <v>1214</v>
      </c>
      <c r="I19" s="614" t="s">
        <v>517</v>
      </c>
    </row>
    <row r="20" spans="1:9" x14ac:dyDescent="0.35">
      <c r="A20" s="1137"/>
      <c r="B20" s="1138"/>
      <c r="C20" s="1139"/>
      <c r="D20" s="1140"/>
      <c r="E20" s="1143"/>
      <c r="F20" s="1141"/>
      <c r="G20" s="1144"/>
      <c r="H20" s="1142"/>
      <c r="I20" s="1140"/>
    </row>
    <row r="21" spans="1:9" x14ac:dyDescent="0.35">
      <c r="A21" s="625" t="s">
        <v>691</v>
      </c>
      <c r="B21" s="20"/>
      <c r="C21" s="20"/>
      <c r="D21" s="3"/>
      <c r="E21" s="20"/>
      <c r="F21" s="20"/>
      <c r="G21" s="20"/>
      <c r="H21" s="20"/>
      <c r="I21" s="20"/>
    </row>
    <row r="22" spans="1:9" ht="21.75" thickBot="1" x14ac:dyDescent="0.4">
      <c r="A22" s="20"/>
      <c r="B22" s="20"/>
      <c r="C22" s="20"/>
      <c r="D22" s="3"/>
      <c r="E22" s="20"/>
      <c r="F22" s="20"/>
      <c r="G22" s="20"/>
      <c r="H22" s="20"/>
      <c r="I22" s="20"/>
    </row>
    <row r="23" spans="1:9" ht="21.75" thickBot="1" x14ac:dyDescent="0.4">
      <c r="A23" s="626">
        <v>45560</v>
      </c>
      <c r="B23" s="20"/>
      <c r="C23" s="20"/>
      <c r="D23" s="3"/>
      <c r="E23" s="20"/>
      <c r="F23" s="20"/>
      <c r="G23" s="20"/>
      <c r="H23" s="20"/>
      <c r="I23" s="20"/>
    </row>
  </sheetData>
  <mergeCells count="1">
    <mergeCell ref="A1:I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9DF0D-EB61-4E8F-B228-43FC5977B252}">
  <dimension ref="A1:F10"/>
  <sheetViews>
    <sheetView workbookViewId="0">
      <selection activeCell="E6" sqref="E6"/>
    </sheetView>
  </sheetViews>
  <sheetFormatPr defaultRowHeight="15" x14ac:dyDescent="0.25"/>
  <cols>
    <col min="1" max="1" width="22.28515625" customWidth="1"/>
    <col min="2" max="2" width="14" customWidth="1"/>
    <col min="3" max="4" width="11" bestFit="1" customWidth="1"/>
    <col min="5" max="5" width="22.85546875" customWidth="1"/>
    <col min="6" max="6" width="20.28515625" customWidth="1"/>
  </cols>
  <sheetData>
    <row r="1" spans="1:6" ht="18" x14ac:dyDescent="0.25">
      <c r="A1" s="1495" t="s">
        <v>1206</v>
      </c>
      <c r="B1" s="1496"/>
      <c r="C1" s="1496"/>
      <c r="D1" s="1496"/>
      <c r="E1" s="1496"/>
      <c r="F1" s="1497"/>
    </row>
    <row r="2" spans="1:6" ht="50.25" thickBot="1" x14ac:dyDescent="0.3">
      <c r="A2" s="1032" t="s">
        <v>692</v>
      </c>
      <c r="B2" s="1033" t="s">
        <v>693</v>
      </c>
      <c r="C2" s="1034" t="s">
        <v>694</v>
      </c>
      <c r="D2" s="1034" t="s">
        <v>695</v>
      </c>
      <c r="E2" s="1033" t="s">
        <v>696</v>
      </c>
      <c r="F2" s="1035" t="s">
        <v>697</v>
      </c>
    </row>
    <row r="3" spans="1:6" ht="33" x14ac:dyDescent="0.25">
      <c r="A3" s="627" t="s">
        <v>698</v>
      </c>
      <c r="B3" s="628" t="s">
        <v>699</v>
      </c>
      <c r="C3" s="1028">
        <v>300</v>
      </c>
      <c r="D3" s="1024">
        <v>273</v>
      </c>
      <c r="E3" s="628" t="s">
        <v>700</v>
      </c>
      <c r="F3" s="629"/>
    </row>
    <row r="4" spans="1:6" ht="33.75" thickBot="1" x14ac:dyDescent="0.3">
      <c r="A4" s="630" t="s">
        <v>698</v>
      </c>
      <c r="B4" s="631" t="s">
        <v>701</v>
      </c>
      <c r="C4" s="1029">
        <v>610</v>
      </c>
      <c r="D4" s="1025">
        <v>583</v>
      </c>
      <c r="E4" s="632" t="s">
        <v>700</v>
      </c>
      <c r="F4" s="633" t="s">
        <v>702</v>
      </c>
    </row>
    <row r="5" spans="1:6" ht="49.5" x14ac:dyDescent="0.25">
      <c r="A5" s="634" t="s">
        <v>703</v>
      </c>
      <c r="B5" s="635" t="s">
        <v>16</v>
      </c>
      <c r="C5" s="1028">
        <v>594</v>
      </c>
      <c r="D5" s="1026">
        <v>566</v>
      </c>
      <c r="E5" s="635" t="s">
        <v>704</v>
      </c>
      <c r="F5" s="629"/>
    </row>
    <row r="6" spans="1:6" ht="50.25" thickBot="1" x14ac:dyDescent="0.3">
      <c r="A6" s="636" t="s">
        <v>703</v>
      </c>
      <c r="B6" s="637" t="s">
        <v>632</v>
      </c>
      <c r="C6" s="1030">
        <v>904</v>
      </c>
      <c r="D6" s="1027">
        <v>876</v>
      </c>
      <c r="E6" s="631" t="s">
        <v>704</v>
      </c>
      <c r="F6" s="638" t="s">
        <v>702</v>
      </c>
    </row>
    <row r="7" spans="1:6" ht="49.5" x14ac:dyDescent="0.25">
      <c r="A7" s="627" t="s">
        <v>705</v>
      </c>
      <c r="B7" s="628" t="s">
        <v>699</v>
      </c>
      <c r="C7" s="1028">
        <v>734</v>
      </c>
      <c r="D7" s="1024">
        <v>706</v>
      </c>
      <c r="E7" s="639" t="s">
        <v>706</v>
      </c>
      <c r="F7" s="629"/>
    </row>
    <row r="8" spans="1:6" ht="50.25" thickBot="1" x14ac:dyDescent="0.3">
      <c r="A8" s="640" t="s">
        <v>705</v>
      </c>
      <c r="B8" s="631" t="s">
        <v>701</v>
      </c>
      <c r="C8" s="1031">
        <v>1044</v>
      </c>
      <c r="D8" s="1025">
        <v>1016</v>
      </c>
      <c r="E8" s="641" t="s">
        <v>707</v>
      </c>
      <c r="F8" s="642" t="s">
        <v>708</v>
      </c>
    </row>
    <row r="9" spans="1:6" x14ac:dyDescent="0.25">
      <c r="A9" s="1498"/>
      <c r="B9" s="1499"/>
      <c r="C9" s="1499"/>
      <c r="D9" s="1499"/>
      <c r="E9" s="1499"/>
      <c r="F9" s="1500"/>
    </row>
    <row r="10" spans="1:6" ht="33" customHeight="1" x14ac:dyDescent="0.25">
      <c r="A10" s="1501" t="s">
        <v>709</v>
      </c>
      <c r="B10" s="1502"/>
      <c r="C10" s="1502"/>
      <c r="D10" s="1502"/>
      <c r="E10" s="1502"/>
      <c r="F10" s="1503"/>
    </row>
  </sheetData>
  <mergeCells count="3">
    <mergeCell ref="A1:F1"/>
    <mergeCell ref="A9:F9"/>
    <mergeCell ref="A10:F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2EB71-F69E-48A0-8206-9721EC43609E}">
  <dimension ref="A1:N79"/>
  <sheetViews>
    <sheetView topLeftCell="A35" workbookViewId="0">
      <selection activeCell="B42" sqref="B42"/>
    </sheetView>
  </sheetViews>
  <sheetFormatPr defaultColWidth="9.140625" defaultRowHeight="18" x14ac:dyDescent="0.35"/>
  <cols>
    <col min="1" max="1" width="5.5703125" style="676" customWidth="1"/>
    <col min="2" max="2" width="49.7109375" style="62" customWidth="1"/>
    <col min="3" max="3" width="14" style="62" customWidth="1"/>
    <col min="4" max="4" width="11.5703125" style="62" customWidth="1"/>
    <col min="5" max="5" width="16.140625" style="205" customWidth="1"/>
    <col min="6" max="6" width="13.5703125" style="677" customWidth="1"/>
    <col min="7" max="7" width="13.5703125" style="62" customWidth="1"/>
    <col min="8" max="8" width="13.5703125" style="677" customWidth="1"/>
    <col min="9" max="9" width="15.140625" style="62" customWidth="1"/>
    <col min="10" max="10" width="44.7109375" style="62" customWidth="1"/>
    <col min="11" max="11" width="19.28515625" style="61" customWidth="1"/>
    <col min="12" max="12" width="60.7109375" style="62" customWidth="1"/>
    <col min="13" max="16384" width="9.140625" style="62"/>
  </cols>
  <sheetData>
    <row r="1" spans="1:11" ht="38.25" customHeight="1" thickBot="1" x14ac:dyDescent="0.4">
      <c r="A1" s="1511" t="s">
        <v>710</v>
      </c>
      <c r="B1" s="1512"/>
      <c r="C1" s="1512"/>
      <c r="D1" s="1512"/>
      <c r="E1" s="1512"/>
      <c r="F1" s="1512"/>
      <c r="G1" s="1512"/>
      <c r="H1" s="1512"/>
      <c r="I1" s="1512"/>
      <c r="J1" s="1512"/>
      <c r="K1" s="1512"/>
    </row>
    <row r="2" spans="1:11" ht="54.75" thickBot="1" x14ac:dyDescent="0.4">
      <c r="A2" s="1057" t="s">
        <v>1</v>
      </c>
      <c r="B2" s="1058" t="s">
        <v>2</v>
      </c>
      <c r="C2" s="1059" t="s">
        <v>3</v>
      </c>
      <c r="D2" s="1059" t="s">
        <v>105</v>
      </c>
      <c r="E2" s="1060" t="s">
        <v>711</v>
      </c>
      <c r="F2" s="1060" t="s">
        <v>176</v>
      </c>
      <c r="G2" s="1060" t="s">
        <v>712</v>
      </c>
      <c r="H2" s="1060" t="s">
        <v>713</v>
      </c>
      <c r="I2" s="1061" t="s">
        <v>8</v>
      </c>
      <c r="J2" s="1062" t="s">
        <v>9</v>
      </c>
      <c r="K2" s="1063" t="s">
        <v>10</v>
      </c>
    </row>
    <row r="3" spans="1:11" ht="81.75" customHeight="1" thickBot="1" x14ac:dyDescent="0.4">
      <c r="A3" s="643">
        <v>1</v>
      </c>
      <c r="B3" s="644" t="s">
        <v>714</v>
      </c>
      <c r="C3" s="395" t="s">
        <v>715</v>
      </c>
      <c r="D3" s="645" t="s">
        <v>16</v>
      </c>
      <c r="E3" s="1513">
        <v>648</v>
      </c>
      <c r="F3" s="1513"/>
      <c r="G3" s="1514">
        <v>615</v>
      </c>
      <c r="H3" s="1514"/>
      <c r="I3" s="646" t="s">
        <v>34</v>
      </c>
      <c r="J3" s="647" t="s">
        <v>716</v>
      </c>
      <c r="K3" s="648">
        <v>46070</v>
      </c>
    </row>
    <row r="4" spans="1:11" ht="23.25" customHeight="1" thickBot="1" x14ac:dyDescent="0.4">
      <c r="A4" s="643">
        <v>2</v>
      </c>
      <c r="B4" s="649" t="s">
        <v>714</v>
      </c>
      <c r="C4" s="80" t="s">
        <v>717</v>
      </c>
      <c r="D4" s="80">
        <v>1</v>
      </c>
      <c r="E4" s="653">
        <v>648</v>
      </c>
      <c r="F4" s="1064">
        <v>808</v>
      </c>
      <c r="G4" s="653">
        <v>507.6</v>
      </c>
      <c r="H4" s="1066">
        <v>667.6</v>
      </c>
      <c r="I4" s="52" t="s">
        <v>34</v>
      </c>
      <c r="J4" s="151"/>
      <c r="K4" s="650">
        <v>46070</v>
      </c>
    </row>
    <row r="5" spans="1:11" ht="83.25" thickBot="1" x14ac:dyDescent="0.4">
      <c r="A5" s="643">
        <v>3</v>
      </c>
      <c r="B5" s="1158" t="s">
        <v>1234</v>
      </c>
      <c r="C5" s="1159" t="s">
        <v>715</v>
      </c>
      <c r="D5" s="1160" t="s">
        <v>16</v>
      </c>
      <c r="E5" s="1515">
        <v>960</v>
      </c>
      <c r="F5" s="1515"/>
      <c r="G5" s="1516">
        <v>660</v>
      </c>
      <c r="H5" s="1516"/>
      <c r="I5" s="1161" t="s">
        <v>34</v>
      </c>
      <c r="J5" s="1162" t="s">
        <v>1235</v>
      </c>
      <c r="K5" s="1163" t="s">
        <v>1236</v>
      </c>
    </row>
    <row r="6" spans="1:11" ht="36.75" thickBot="1" x14ac:dyDescent="0.4">
      <c r="A6" s="643">
        <v>4</v>
      </c>
      <c r="B6" s="32" t="s">
        <v>718</v>
      </c>
      <c r="C6" s="80" t="s">
        <v>717</v>
      </c>
      <c r="D6" s="80">
        <v>1</v>
      </c>
      <c r="E6" s="653">
        <v>1350</v>
      </c>
      <c r="F6" s="1064">
        <v>1510</v>
      </c>
      <c r="G6" s="653">
        <v>734.40000000000009</v>
      </c>
      <c r="H6" s="1066">
        <v>894.40000000000009</v>
      </c>
      <c r="I6" s="52" t="s">
        <v>34</v>
      </c>
      <c r="J6" s="151"/>
      <c r="K6" s="650">
        <v>46070</v>
      </c>
    </row>
    <row r="7" spans="1:11" s="430" customFormat="1" ht="45.75" customHeight="1" thickBot="1" x14ac:dyDescent="0.3">
      <c r="A7" s="643">
        <v>5</v>
      </c>
      <c r="B7" s="32" t="s">
        <v>719</v>
      </c>
      <c r="C7" s="80" t="s">
        <v>717</v>
      </c>
      <c r="D7" s="80">
        <v>1</v>
      </c>
      <c r="E7" s="653">
        <v>1198.8000000000002</v>
      </c>
      <c r="F7" s="1064">
        <v>1358.8000000000002</v>
      </c>
      <c r="G7" s="653">
        <v>734.40000000000009</v>
      </c>
      <c r="H7" s="1066">
        <v>894.40000000000009</v>
      </c>
      <c r="I7" s="52" t="s">
        <v>34</v>
      </c>
      <c r="J7" s="151"/>
      <c r="K7" s="544">
        <v>46070</v>
      </c>
    </row>
    <row r="8" spans="1:11" ht="90" customHeight="1" thickBot="1" x14ac:dyDescent="0.4">
      <c r="A8" s="643">
        <v>6</v>
      </c>
      <c r="B8" s="651" t="s">
        <v>720</v>
      </c>
      <c r="C8" s="17" t="s">
        <v>721</v>
      </c>
      <c r="D8" s="80">
        <v>3</v>
      </c>
      <c r="E8" s="652">
        <v>2770</v>
      </c>
      <c r="F8" s="1064">
        <v>3250</v>
      </c>
      <c r="G8" s="653">
        <v>615</v>
      </c>
      <c r="H8" s="1066">
        <v>1095</v>
      </c>
      <c r="I8" s="52" t="s">
        <v>289</v>
      </c>
      <c r="J8" s="654" t="s">
        <v>722</v>
      </c>
      <c r="K8" s="650">
        <v>45728</v>
      </c>
    </row>
    <row r="9" spans="1:11" ht="33.75" thickBot="1" x14ac:dyDescent="0.4">
      <c r="A9" s="643">
        <v>7</v>
      </c>
      <c r="B9" s="651" t="s">
        <v>720</v>
      </c>
      <c r="C9" s="17" t="s">
        <v>721</v>
      </c>
      <c r="D9" s="80">
        <v>3</v>
      </c>
      <c r="E9" s="653"/>
      <c r="F9" s="1064"/>
      <c r="G9" s="653">
        <v>2350</v>
      </c>
      <c r="H9" s="1066">
        <v>2800</v>
      </c>
      <c r="I9" s="52"/>
      <c r="J9" s="655" t="s">
        <v>723</v>
      </c>
      <c r="K9" s="650">
        <v>45728</v>
      </c>
    </row>
    <row r="10" spans="1:11" ht="36.75" thickBot="1" x14ac:dyDescent="0.4">
      <c r="A10" s="643">
        <v>8</v>
      </c>
      <c r="B10" s="649" t="s">
        <v>724</v>
      </c>
      <c r="C10" s="80" t="s">
        <v>725</v>
      </c>
      <c r="D10" s="80">
        <v>7</v>
      </c>
      <c r="E10" s="653">
        <v>2646</v>
      </c>
      <c r="F10" s="1064">
        <v>3766</v>
      </c>
      <c r="G10" s="653">
        <v>734.40000000000009</v>
      </c>
      <c r="H10" s="1066">
        <v>1854.4</v>
      </c>
      <c r="I10" s="52" t="s">
        <v>34</v>
      </c>
      <c r="J10" s="151"/>
      <c r="K10" s="292">
        <v>46070</v>
      </c>
    </row>
    <row r="11" spans="1:11" ht="36.75" thickBot="1" x14ac:dyDescent="0.4">
      <c r="A11" s="643">
        <v>9</v>
      </c>
      <c r="B11" s="649" t="s">
        <v>726</v>
      </c>
      <c r="C11" s="80" t="s">
        <v>727</v>
      </c>
      <c r="D11" s="80">
        <v>7</v>
      </c>
      <c r="E11" s="653">
        <v>2646</v>
      </c>
      <c r="F11" s="1064">
        <v>3766</v>
      </c>
      <c r="G11" s="653">
        <v>1188</v>
      </c>
      <c r="H11" s="1066">
        <v>2308</v>
      </c>
      <c r="I11" s="52" t="s">
        <v>34</v>
      </c>
      <c r="J11" s="151"/>
      <c r="K11" s="292">
        <v>46070</v>
      </c>
    </row>
    <row r="12" spans="1:11" ht="18.75" thickBot="1" x14ac:dyDescent="0.4">
      <c r="A12" s="643">
        <v>10</v>
      </c>
      <c r="B12" s="656" t="s">
        <v>728</v>
      </c>
      <c r="C12" s="80" t="s">
        <v>729</v>
      </c>
      <c r="D12" s="80">
        <v>1</v>
      </c>
      <c r="E12" s="653">
        <v>972.00000000000011</v>
      </c>
      <c r="F12" s="1064">
        <v>1132</v>
      </c>
      <c r="G12" s="653">
        <v>907.2</v>
      </c>
      <c r="H12" s="1066">
        <v>1067.2</v>
      </c>
      <c r="I12" s="52" t="s">
        <v>34</v>
      </c>
      <c r="J12" s="151"/>
      <c r="K12" s="292">
        <v>46070</v>
      </c>
    </row>
    <row r="13" spans="1:11" ht="36.75" thickBot="1" x14ac:dyDescent="0.4">
      <c r="A13" s="643">
        <v>11</v>
      </c>
      <c r="B13" s="32" t="s">
        <v>730</v>
      </c>
      <c r="C13" s="150" t="s">
        <v>678</v>
      </c>
      <c r="D13" s="80">
        <v>1</v>
      </c>
      <c r="E13" s="653">
        <v>918.00000000000011</v>
      </c>
      <c r="F13" s="1064">
        <v>1078</v>
      </c>
      <c r="G13" s="653">
        <v>734.40000000000009</v>
      </c>
      <c r="H13" s="1066">
        <v>894.40000000000009</v>
      </c>
      <c r="I13" s="52" t="s">
        <v>34</v>
      </c>
      <c r="J13" s="151"/>
      <c r="K13" s="292">
        <v>46070</v>
      </c>
    </row>
    <row r="14" spans="1:11" ht="18.75" thickBot="1" x14ac:dyDescent="0.4">
      <c r="A14" s="643">
        <v>12</v>
      </c>
      <c r="B14" s="32" t="s">
        <v>731</v>
      </c>
      <c r="C14" s="80" t="s">
        <v>732</v>
      </c>
      <c r="D14" s="80">
        <v>1</v>
      </c>
      <c r="E14" s="653">
        <v>1134</v>
      </c>
      <c r="F14" s="1064">
        <v>1294</v>
      </c>
      <c r="G14" s="653">
        <v>816.48</v>
      </c>
      <c r="H14" s="1066">
        <v>976.48</v>
      </c>
      <c r="I14" s="52" t="s">
        <v>34</v>
      </c>
      <c r="J14" s="151"/>
      <c r="K14" s="292">
        <v>46070</v>
      </c>
    </row>
    <row r="15" spans="1:11" s="430" customFormat="1" ht="18.75" thickBot="1" x14ac:dyDescent="0.3">
      <c r="A15" s="643">
        <v>13</v>
      </c>
      <c r="B15" s="32" t="s">
        <v>733</v>
      </c>
      <c r="C15" s="80" t="s">
        <v>734</v>
      </c>
      <c r="D15" s="80">
        <v>1</v>
      </c>
      <c r="E15" s="653">
        <v>972.00000000000011</v>
      </c>
      <c r="F15" s="1064">
        <v>1132</v>
      </c>
      <c r="G15" s="653">
        <v>793.80000000000007</v>
      </c>
      <c r="H15" s="1066">
        <v>953.80000000000007</v>
      </c>
      <c r="I15" s="52" t="s">
        <v>34</v>
      </c>
      <c r="J15" s="151"/>
      <c r="K15" s="292">
        <v>46070</v>
      </c>
    </row>
    <row r="16" spans="1:11" s="430" customFormat="1" ht="33.75" thickBot="1" x14ac:dyDescent="0.3">
      <c r="A16" s="643">
        <v>14</v>
      </c>
      <c r="B16" s="657" t="s">
        <v>735</v>
      </c>
      <c r="C16" s="658" t="s">
        <v>732</v>
      </c>
      <c r="D16" s="80">
        <v>1</v>
      </c>
      <c r="E16" s="652">
        <v>1160</v>
      </c>
      <c r="F16" s="1064">
        <v>1320</v>
      </c>
      <c r="G16" s="653">
        <v>700</v>
      </c>
      <c r="H16" s="1066">
        <v>860</v>
      </c>
      <c r="I16" s="52" t="s">
        <v>34</v>
      </c>
      <c r="J16" s="659" t="s">
        <v>736</v>
      </c>
      <c r="K16" s="292">
        <v>45728</v>
      </c>
    </row>
    <row r="17" spans="1:11" ht="33.75" thickBot="1" x14ac:dyDescent="0.4">
      <c r="A17" s="643">
        <v>15</v>
      </c>
      <c r="B17" s="657" t="s">
        <v>737</v>
      </c>
      <c r="C17" s="80" t="s">
        <v>63</v>
      </c>
      <c r="D17" s="80" t="s">
        <v>63</v>
      </c>
      <c r="E17" s="1504">
        <v>180</v>
      </c>
      <c r="F17" s="1504"/>
      <c r="G17" s="653"/>
      <c r="H17" s="155" t="s">
        <v>63</v>
      </c>
      <c r="I17" s="52" t="s">
        <v>34</v>
      </c>
      <c r="J17" s="659" t="s">
        <v>738</v>
      </c>
      <c r="K17" s="292">
        <v>45728</v>
      </c>
    </row>
    <row r="18" spans="1:11" ht="18.75" thickBot="1" x14ac:dyDescent="0.4">
      <c r="A18" s="643">
        <v>16</v>
      </c>
      <c r="B18" s="32" t="s">
        <v>739</v>
      </c>
      <c r="C18" s="80"/>
      <c r="D18" s="80">
        <v>1</v>
      </c>
      <c r="E18" s="653">
        <v>1242</v>
      </c>
      <c r="F18" s="1064">
        <v>1402</v>
      </c>
      <c r="G18" s="653">
        <v>1304.1000000000001</v>
      </c>
      <c r="H18" s="1066">
        <v>1464.1000000000001</v>
      </c>
      <c r="I18" s="52" t="s">
        <v>34</v>
      </c>
      <c r="J18" s="151"/>
      <c r="K18" s="292">
        <v>46070</v>
      </c>
    </row>
    <row r="19" spans="1:11" ht="18.75" thickBot="1" x14ac:dyDescent="0.4">
      <c r="A19" s="643">
        <v>17</v>
      </c>
      <c r="B19" s="32" t="s">
        <v>740</v>
      </c>
      <c r="C19" s="80"/>
      <c r="D19" s="80">
        <v>1</v>
      </c>
      <c r="E19" s="653">
        <v>1242</v>
      </c>
      <c r="F19" s="1064">
        <v>1402</v>
      </c>
      <c r="G19" s="653">
        <v>1304.1000000000001</v>
      </c>
      <c r="H19" s="1066">
        <v>1464.1000000000001</v>
      </c>
      <c r="I19" s="52" t="s">
        <v>34</v>
      </c>
      <c r="J19" s="151"/>
      <c r="K19" s="292">
        <v>46070</v>
      </c>
    </row>
    <row r="20" spans="1:11" ht="18.75" thickBot="1" x14ac:dyDescent="0.4">
      <c r="A20" s="643">
        <v>18</v>
      </c>
      <c r="B20" s="32" t="s">
        <v>741</v>
      </c>
      <c r="C20" s="80" t="s">
        <v>742</v>
      </c>
      <c r="D20" s="80">
        <v>1</v>
      </c>
      <c r="E20" s="653">
        <v>1242</v>
      </c>
      <c r="F20" s="1064">
        <v>1402</v>
      </c>
      <c r="G20" s="653">
        <v>963.90000000000009</v>
      </c>
      <c r="H20" s="1066">
        <v>1123.9000000000001</v>
      </c>
      <c r="I20" s="52" t="s">
        <v>34</v>
      </c>
      <c r="J20" s="151"/>
      <c r="K20" s="292">
        <v>46070</v>
      </c>
    </row>
    <row r="21" spans="1:11" ht="18.75" thickBot="1" x14ac:dyDescent="0.4">
      <c r="A21" s="643">
        <v>19</v>
      </c>
      <c r="B21" s="32" t="s">
        <v>743</v>
      </c>
      <c r="C21" s="80" t="s">
        <v>744</v>
      </c>
      <c r="D21" s="80">
        <v>1</v>
      </c>
      <c r="E21" s="653">
        <v>972.00000000000011</v>
      </c>
      <c r="F21" s="1064">
        <v>1132</v>
      </c>
      <c r="G21" s="653">
        <v>907.2</v>
      </c>
      <c r="H21" s="1066">
        <v>1067.2</v>
      </c>
      <c r="I21" s="52" t="s">
        <v>34</v>
      </c>
      <c r="J21" s="151"/>
      <c r="K21" s="292">
        <v>46070</v>
      </c>
    </row>
    <row r="22" spans="1:11" ht="18.75" thickBot="1" x14ac:dyDescent="0.4">
      <c r="A22" s="643">
        <v>20</v>
      </c>
      <c r="B22" s="32" t="s">
        <v>745</v>
      </c>
      <c r="C22" s="80" t="s">
        <v>744</v>
      </c>
      <c r="D22" s="80">
        <v>1</v>
      </c>
      <c r="E22" s="653">
        <v>972.00000000000011</v>
      </c>
      <c r="F22" s="1064">
        <v>1132</v>
      </c>
      <c r="G22" s="653">
        <v>907.2</v>
      </c>
      <c r="H22" s="1066">
        <v>1067.2</v>
      </c>
      <c r="I22" s="52" t="s">
        <v>34</v>
      </c>
      <c r="J22" s="151"/>
      <c r="K22" s="292">
        <v>46070</v>
      </c>
    </row>
    <row r="23" spans="1:11" ht="18.75" thickBot="1" x14ac:dyDescent="0.4">
      <c r="A23" s="643">
        <v>21</v>
      </c>
      <c r="B23" s="32" t="s">
        <v>746</v>
      </c>
      <c r="C23" s="150" t="s">
        <v>747</v>
      </c>
      <c r="D23" s="80">
        <v>1</v>
      </c>
      <c r="E23" s="653">
        <v>399.6</v>
      </c>
      <c r="F23" s="1064">
        <v>559.6</v>
      </c>
      <c r="G23" s="653">
        <v>226.8</v>
      </c>
      <c r="H23" s="1066">
        <v>386.8</v>
      </c>
      <c r="I23" s="52" t="s">
        <v>34</v>
      </c>
      <c r="J23" s="151"/>
      <c r="K23" s="292">
        <v>46070</v>
      </c>
    </row>
    <row r="24" spans="1:11" ht="36.75" thickBot="1" x14ac:dyDescent="0.4">
      <c r="A24" s="643">
        <v>22</v>
      </c>
      <c r="B24" s="32" t="s">
        <v>748</v>
      </c>
      <c r="C24" s="150" t="s">
        <v>744</v>
      </c>
      <c r="D24" s="80">
        <v>1</v>
      </c>
      <c r="E24" s="653">
        <v>399.6</v>
      </c>
      <c r="F24" s="1064">
        <v>559.6</v>
      </c>
      <c r="G24" s="653">
        <v>340.20000000000005</v>
      </c>
      <c r="H24" s="1066">
        <v>500.20000000000005</v>
      </c>
      <c r="I24" s="52" t="s">
        <v>34</v>
      </c>
      <c r="J24" s="151"/>
      <c r="K24" s="292">
        <v>46070</v>
      </c>
    </row>
    <row r="25" spans="1:11" ht="36.75" thickBot="1" x14ac:dyDescent="0.4">
      <c r="A25" s="643">
        <v>23</v>
      </c>
      <c r="B25" s="32" t="s">
        <v>749</v>
      </c>
      <c r="C25" s="150" t="s">
        <v>744</v>
      </c>
      <c r="D25" s="80">
        <v>1</v>
      </c>
      <c r="E25" s="653">
        <v>734.40000000000009</v>
      </c>
      <c r="F25" s="1064">
        <v>894.40000000000009</v>
      </c>
      <c r="G25" s="653">
        <v>680.40000000000009</v>
      </c>
      <c r="H25" s="1066">
        <v>840.40000000000009</v>
      </c>
      <c r="I25" s="52" t="s">
        <v>34</v>
      </c>
      <c r="J25" s="151"/>
      <c r="K25" s="292">
        <v>46070</v>
      </c>
    </row>
    <row r="26" spans="1:11" ht="18.75" thickBot="1" x14ac:dyDescent="0.4">
      <c r="A26" s="643">
        <v>24</v>
      </c>
      <c r="B26" s="32" t="s">
        <v>750</v>
      </c>
      <c r="C26" s="80" t="s">
        <v>744</v>
      </c>
      <c r="D26" s="80">
        <v>1</v>
      </c>
      <c r="E26" s="653">
        <v>972.00000000000011</v>
      </c>
      <c r="F26" s="1064">
        <v>1132</v>
      </c>
      <c r="G26" s="653">
        <v>907.2</v>
      </c>
      <c r="H26" s="1066">
        <v>1067.2</v>
      </c>
      <c r="I26" s="52" t="s">
        <v>34</v>
      </c>
      <c r="J26" s="151"/>
      <c r="K26" s="292">
        <v>46070</v>
      </c>
    </row>
    <row r="27" spans="1:11" ht="36.75" thickBot="1" x14ac:dyDescent="0.4">
      <c r="A27" s="643">
        <v>25</v>
      </c>
      <c r="B27" s="32" t="s">
        <v>751</v>
      </c>
      <c r="C27" s="80" t="s">
        <v>744</v>
      </c>
      <c r="D27" s="80">
        <v>1</v>
      </c>
      <c r="E27" s="653">
        <v>734.40000000000009</v>
      </c>
      <c r="F27" s="1064">
        <v>894.40000000000009</v>
      </c>
      <c r="G27" s="653">
        <v>680.40000000000009</v>
      </c>
      <c r="H27" s="1066">
        <v>840.40000000000009</v>
      </c>
      <c r="I27" s="52" t="s">
        <v>34</v>
      </c>
      <c r="J27" s="151"/>
      <c r="K27" s="292">
        <v>46070</v>
      </c>
    </row>
    <row r="28" spans="1:11" ht="18.75" thickBot="1" x14ac:dyDescent="0.4">
      <c r="A28" s="643">
        <v>26</v>
      </c>
      <c r="B28" s="649" t="s">
        <v>752</v>
      </c>
      <c r="C28" s="80" t="s">
        <v>753</v>
      </c>
      <c r="D28" s="80">
        <v>4</v>
      </c>
      <c r="E28" s="653">
        <v>1803.6000000000001</v>
      </c>
      <c r="F28" s="1064">
        <v>2443.6000000000004</v>
      </c>
      <c r="G28" s="653">
        <v>1814.4</v>
      </c>
      <c r="H28" s="1066">
        <v>2454.4</v>
      </c>
      <c r="I28" s="52" t="s">
        <v>34</v>
      </c>
      <c r="J28" s="151"/>
      <c r="K28" s="292">
        <v>46070</v>
      </c>
    </row>
    <row r="29" spans="1:11" ht="36.75" thickBot="1" x14ac:dyDescent="0.4">
      <c r="A29" s="643">
        <v>27</v>
      </c>
      <c r="B29" s="32" t="s">
        <v>754</v>
      </c>
      <c r="C29" s="80" t="s">
        <v>755</v>
      </c>
      <c r="D29" s="80">
        <v>1</v>
      </c>
      <c r="E29" s="653">
        <v>1296</v>
      </c>
      <c r="F29" s="1064">
        <v>1456</v>
      </c>
      <c r="G29" s="653">
        <v>907.2</v>
      </c>
      <c r="H29" s="1066">
        <v>1067.2</v>
      </c>
      <c r="I29" s="52" t="s">
        <v>34</v>
      </c>
      <c r="J29" s="151"/>
      <c r="K29" s="292">
        <v>46070</v>
      </c>
    </row>
    <row r="30" spans="1:11" ht="18.75" thickBot="1" x14ac:dyDescent="0.4">
      <c r="A30" s="643">
        <v>28</v>
      </c>
      <c r="B30" s="32" t="s">
        <v>756</v>
      </c>
      <c r="C30" s="80" t="s">
        <v>734</v>
      </c>
      <c r="D30" s="80">
        <v>1</v>
      </c>
      <c r="E30" s="653">
        <v>1134</v>
      </c>
      <c r="F30" s="1064">
        <v>1294</v>
      </c>
      <c r="G30" s="653">
        <v>963.90000000000009</v>
      </c>
      <c r="H30" s="1066">
        <v>1123.9000000000001</v>
      </c>
      <c r="I30" s="52" t="s">
        <v>34</v>
      </c>
      <c r="J30" s="151"/>
      <c r="K30" s="292">
        <v>46070</v>
      </c>
    </row>
    <row r="31" spans="1:11" ht="18.75" thickBot="1" x14ac:dyDescent="0.4">
      <c r="A31" s="643">
        <v>29</v>
      </c>
      <c r="B31" s="649" t="s">
        <v>757</v>
      </c>
      <c r="C31" s="80" t="s">
        <v>753</v>
      </c>
      <c r="D31" s="80">
        <v>4</v>
      </c>
      <c r="E31" s="653">
        <v>2235.6000000000004</v>
      </c>
      <c r="F31" s="1064">
        <v>2875.6000000000004</v>
      </c>
      <c r="G31" s="653">
        <v>1868.4</v>
      </c>
      <c r="H31" s="1066">
        <v>2508.4</v>
      </c>
      <c r="I31" s="52" t="s">
        <v>34</v>
      </c>
      <c r="J31" s="151"/>
      <c r="K31" s="292">
        <v>46070</v>
      </c>
    </row>
    <row r="32" spans="1:11" ht="18.75" thickBot="1" x14ac:dyDescent="0.4">
      <c r="A32" s="643">
        <v>30</v>
      </c>
      <c r="B32" s="32" t="s">
        <v>758</v>
      </c>
      <c r="C32" s="80" t="s">
        <v>759</v>
      </c>
      <c r="D32" s="80">
        <v>1</v>
      </c>
      <c r="E32" s="653">
        <v>972.00000000000011</v>
      </c>
      <c r="F32" s="1064">
        <v>1132</v>
      </c>
      <c r="G32" s="653">
        <v>853.2</v>
      </c>
      <c r="H32" s="1066">
        <v>1013.2</v>
      </c>
      <c r="I32" s="52" t="s">
        <v>34</v>
      </c>
      <c r="J32" s="151"/>
      <c r="K32" s="292">
        <v>46070</v>
      </c>
    </row>
    <row r="33" spans="1:11" ht="18.75" thickBot="1" x14ac:dyDescent="0.4">
      <c r="A33" s="643">
        <v>31</v>
      </c>
      <c r="B33" s="32" t="s">
        <v>760</v>
      </c>
      <c r="C33" s="80" t="s">
        <v>759</v>
      </c>
      <c r="D33" s="80">
        <v>1</v>
      </c>
      <c r="E33" s="653">
        <v>1652.4</v>
      </c>
      <c r="F33" s="1064">
        <v>1812.4</v>
      </c>
      <c r="G33" s="653">
        <v>1533.6000000000001</v>
      </c>
      <c r="H33" s="1066">
        <v>1693.6000000000001</v>
      </c>
      <c r="I33" s="52" t="s">
        <v>34</v>
      </c>
      <c r="J33" s="151"/>
      <c r="K33" s="292">
        <v>46070</v>
      </c>
    </row>
    <row r="34" spans="1:11" ht="18.75" thickBot="1" x14ac:dyDescent="0.4">
      <c r="A34" s="643">
        <v>32</v>
      </c>
      <c r="B34" s="32" t="s">
        <v>761</v>
      </c>
      <c r="C34" s="80" t="s">
        <v>762</v>
      </c>
      <c r="D34" s="80">
        <v>1</v>
      </c>
      <c r="E34" s="653">
        <v>972.00000000000011</v>
      </c>
      <c r="F34" s="1064">
        <v>1132</v>
      </c>
      <c r="G34" s="653">
        <v>680.40000000000009</v>
      </c>
      <c r="H34" s="1066">
        <v>840.40000000000009</v>
      </c>
      <c r="I34" s="52" t="s">
        <v>34</v>
      </c>
      <c r="J34" s="151"/>
      <c r="K34" s="292">
        <v>46070</v>
      </c>
    </row>
    <row r="35" spans="1:11" ht="18.75" thickBot="1" x14ac:dyDescent="0.4">
      <c r="A35" s="643">
        <v>33</v>
      </c>
      <c r="B35" s="32" t="s">
        <v>763</v>
      </c>
      <c r="C35" s="80" t="s">
        <v>759</v>
      </c>
      <c r="D35" s="80">
        <v>1</v>
      </c>
      <c r="E35" s="653">
        <v>1242</v>
      </c>
      <c r="F35" s="1064">
        <v>1402</v>
      </c>
      <c r="G35" s="653">
        <v>1134</v>
      </c>
      <c r="H35" s="1066">
        <v>1294</v>
      </c>
      <c r="I35" s="52" t="s">
        <v>34</v>
      </c>
      <c r="J35" s="151"/>
      <c r="K35" s="292">
        <v>46070</v>
      </c>
    </row>
    <row r="36" spans="1:11" ht="18.75" thickBot="1" x14ac:dyDescent="0.4">
      <c r="A36" s="643">
        <v>34</v>
      </c>
      <c r="B36" s="32" t="s">
        <v>764</v>
      </c>
      <c r="C36" s="80" t="s">
        <v>759</v>
      </c>
      <c r="D36" s="80">
        <v>1</v>
      </c>
      <c r="E36" s="653">
        <v>1674</v>
      </c>
      <c r="F36" s="1064">
        <v>1834</v>
      </c>
      <c r="G36" s="653">
        <v>1533.6000000000001</v>
      </c>
      <c r="H36" s="1066">
        <v>1693.6000000000001</v>
      </c>
      <c r="I36" s="52" t="s">
        <v>34</v>
      </c>
      <c r="J36" s="151"/>
      <c r="K36" s="292">
        <v>46070</v>
      </c>
    </row>
    <row r="37" spans="1:11" ht="18.75" thickBot="1" x14ac:dyDescent="0.4">
      <c r="A37" s="643">
        <v>35</v>
      </c>
      <c r="B37" s="32" t="s">
        <v>765</v>
      </c>
      <c r="C37" s="80" t="s">
        <v>753</v>
      </c>
      <c r="D37" s="80">
        <v>4</v>
      </c>
      <c r="E37" s="653">
        <v>2214</v>
      </c>
      <c r="F37" s="1064">
        <v>2854</v>
      </c>
      <c r="G37" s="653">
        <v>1868.4</v>
      </c>
      <c r="H37" s="1066">
        <v>2508.4</v>
      </c>
      <c r="I37" s="52" t="s">
        <v>34</v>
      </c>
      <c r="J37" s="151"/>
      <c r="K37" s="292">
        <v>46070</v>
      </c>
    </row>
    <row r="38" spans="1:11" ht="18.75" thickBot="1" x14ac:dyDescent="0.4">
      <c r="A38" s="643">
        <v>36</v>
      </c>
      <c r="B38" s="32" t="s">
        <v>766</v>
      </c>
      <c r="C38" s="80" t="s">
        <v>759</v>
      </c>
      <c r="D38" s="80">
        <v>1</v>
      </c>
      <c r="E38" s="653">
        <v>972.00000000000011</v>
      </c>
      <c r="F38" s="1064">
        <v>1132</v>
      </c>
      <c r="G38" s="653">
        <v>907.2</v>
      </c>
      <c r="H38" s="1066">
        <v>1067.2</v>
      </c>
      <c r="I38" s="52" t="s">
        <v>34</v>
      </c>
      <c r="J38" s="151"/>
      <c r="K38" s="292">
        <v>46070</v>
      </c>
    </row>
    <row r="39" spans="1:11" ht="18.75" thickBot="1" x14ac:dyDescent="0.4">
      <c r="A39" s="643">
        <v>37</v>
      </c>
      <c r="B39" s="32" t="s">
        <v>767</v>
      </c>
      <c r="C39" s="80" t="s">
        <v>759</v>
      </c>
      <c r="D39" s="80">
        <v>1</v>
      </c>
      <c r="E39" s="653">
        <v>972.00000000000011</v>
      </c>
      <c r="F39" s="1064">
        <v>1132</v>
      </c>
      <c r="G39" s="653">
        <v>907.2</v>
      </c>
      <c r="H39" s="1066">
        <v>1067.2</v>
      </c>
      <c r="I39" s="52" t="s">
        <v>34</v>
      </c>
      <c r="J39" s="151"/>
      <c r="K39" s="292">
        <v>46070</v>
      </c>
    </row>
    <row r="40" spans="1:11" ht="18.75" thickBot="1" x14ac:dyDescent="0.4">
      <c r="A40" s="643">
        <v>38</v>
      </c>
      <c r="B40" s="32" t="s">
        <v>768</v>
      </c>
      <c r="C40" s="80" t="s">
        <v>759</v>
      </c>
      <c r="D40" s="80">
        <v>1</v>
      </c>
      <c r="E40" s="653">
        <v>972.00000000000011</v>
      </c>
      <c r="F40" s="1064">
        <v>1132</v>
      </c>
      <c r="G40" s="653">
        <v>907.2</v>
      </c>
      <c r="H40" s="1066">
        <v>1067.2</v>
      </c>
      <c r="I40" s="52" t="s">
        <v>34</v>
      </c>
      <c r="J40" s="151"/>
      <c r="K40" s="292">
        <v>46070</v>
      </c>
    </row>
    <row r="41" spans="1:11" ht="18.75" thickBot="1" x14ac:dyDescent="0.4">
      <c r="A41" s="643">
        <v>39</v>
      </c>
      <c r="B41" s="32" t="s">
        <v>769</v>
      </c>
      <c r="C41" s="80" t="s">
        <v>762</v>
      </c>
      <c r="D41" s="80">
        <v>1</v>
      </c>
      <c r="E41" s="653">
        <v>1479.6000000000001</v>
      </c>
      <c r="F41" s="1064">
        <v>1639.6000000000001</v>
      </c>
      <c r="G41" s="653">
        <v>1134</v>
      </c>
      <c r="H41" s="1066">
        <v>1294</v>
      </c>
      <c r="I41" s="52" t="s">
        <v>34</v>
      </c>
      <c r="J41" s="151"/>
      <c r="K41" s="292">
        <v>46070</v>
      </c>
    </row>
    <row r="42" spans="1:11" ht="18.75" thickBot="1" x14ac:dyDescent="0.4">
      <c r="A42" s="643">
        <v>40</v>
      </c>
      <c r="B42" s="32" t="s">
        <v>770</v>
      </c>
      <c r="C42" s="150"/>
      <c r="D42" s="80"/>
      <c r="E42" s="1504">
        <v>340</v>
      </c>
      <c r="F42" s="1504"/>
      <c r="G42" s="1505">
        <v>340</v>
      </c>
      <c r="H42" s="1505"/>
      <c r="I42" s="52"/>
      <c r="J42" s="151"/>
      <c r="K42" s="292">
        <v>45412</v>
      </c>
    </row>
    <row r="43" spans="1:11" ht="18.75" thickBot="1" x14ac:dyDescent="0.4">
      <c r="A43" s="643">
        <v>41</v>
      </c>
      <c r="B43" s="32" t="s">
        <v>771</v>
      </c>
      <c r="C43" s="80" t="s">
        <v>747</v>
      </c>
      <c r="D43" s="80">
        <v>1</v>
      </c>
      <c r="E43" s="653">
        <v>972.00000000000011</v>
      </c>
      <c r="F43" s="1064">
        <v>1132</v>
      </c>
      <c r="G43" s="653">
        <v>907.2</v>
      </c>
      <c r="H43" s="1066">
        <v>1067.2</v>
      </c>
      <c r="I43" s="52" t="s">
        <v>34</v>
      </c>
      <c r="J43" s="151"/>
      <c r="K43" s="292">
        <v>46070</v>
      </c>
    </row>
    <row r="44" spans="1:11" ht="18.75" thickBot="1" x14ac:dyDescent="0.4">
      <c r="A44" s="643">
        <v>42</v>
      </c>
      <c r="B44" s="660" t="s">
        <v>772</v>
      </c>
      <c r="C44" s="150" t="s">
        <v>773</v>
      </c>
      <c r="D44" s="80" t="s">
        <v>16</v>
      </c>
      <c r="E44" s="1504">
        <v>237.60000000000002</v>
      </c>
      <c r="F44" s="1504"/>
      <c r="G44" s="1505">
        <v>237.60000000000002</v>
      </c>
      <c r="H44" s="1505">
        <v>237.60000000000002</v>
      </c>
      <c r="I44" s="52" t="s">
        <v>34</v>
      </c>
      <c r="J44" s="151"/>
      <c r="K44" s="292">
        <v>46070</v>
      </c>
    </row>
    <row r="45" spans="1:11" ht="18.75" thickBot="1" x14ac:dyDescent="0.4">
      <c r="A45" s="643">
        <v>43</v>
      </c>
      <c r="B45" s="660" t="s">
        <v>774</v>
      </c>
      <c r="C45" s="150" t="s">
        <v>729</v>
      </c>
      <c r="D45" s="80" t="s">
        <v>16</v>
      </c>
      <c r="E45" s="1504">
        <v>237.60000000000002</v>
      </c>
      <c r="F45" s="1504">
        <v>237.60000000000002</v>
      </c>
      <c r="G45" s="1505">
        <v>237.60000000000002</v>
      </c>
      <c r="H45" s="1505">
        <v>237.60000000000002</v>
      </c>
      <c r="I45" s="52" t="s">
        <v>34</v>
      </c>
      <c r="J45" s="151" t="s">
        <v>775</v>
      </c>
      <c r="K45" s="292">
        <v>46070</v>
      </c>
    </row>
    <row r="46" spans="1:11" ht="36.75" thickBot="1" x14ac:dyDescent="0.4">
      <c r="A46" s="643">
        <v>44</v>
      </c>
      <c r="B46" s="32" t="s">
        <v>776</v>
      </c>
      <c r="C46" s="80" t="s">
        <v>759</v>
      </c>
      <c r="D46" s="80">
        <v>1</v>
      </c>
      <c r="E46" s="653">
        <v>1123.2</v>
      </c>
      <c r="F46" s="1064">
        <v>1283.2</v>
      </c>
      <c r="G46" s="653">
        <v>1020.6</v>
      </c>
      <c r="H46" s="1066">
        <v>1180.5999999999999</v>
      </c>
      <c r="I46" s="52" t="s">
        <v>34</v>
      </c>
      <c r="J46" s="151"/>
      <c r="K46" s="292">
        <v>46070</v>
      </c>
    </row>
    <row r="47" spans="1:11" ht="36.75" thickBot="1" x14ac:dyDescent="0.4">
      <c r="A47" s="643">
        <v>45</v>
      </c>
      <c r="B47" s="32" t="s">
        <v>777</v>
      </c>
      <c r="C47" s="80" t="s">
        <v>778</v>
      </c>
      <c r="D47" s="80">
        <v>1</v>
      </c>
      <c r="E47" s="653">
        <v>972.00000000000011</v>
      </c>
      <c r="F47" s="1064">
        <v>1132</v>
      </c>
      <c r="G47" s="653">
        <v>907.2</v>
      </c>
      <c r="H47" s="1066">
        <v>1067.2</v>
      </c>
      <c r="I47" s="52" t="s">
        <v>34</v>
      </c>
      <c r="J47" s="151"/>
      <c r="K47" s="292">
        <v>46070</v>
      </c>
    </row>
    <row r="48" spans="1:11" ht="66" customHeight="1" thickBot="1" x14ac:dyDescent="0.4">
      <c r="A48" s="643">
        <v>46</v>
      </c>
      <c r="B48" s="509" t="s">
        <v>779</v>
      </c>
      <c r="C48" s="661" t="s">
        <v>762</v>
      </c>
      <c r="D48" s="661">
        <v>1</v>
      </c>
      <c r="E48" s="673">
        <v>1652.4</v>
      </c>
      <c r="F48" s="1065">
        <v>1812.4</v>
      </c>
      <c r="G48" s="673">
        <v>1360.8000000000002</v>
      </c>
      <c r="H48" s="1067">
        <v>1520.8000000000002</v>
      </c>
      <c r="I48" s="663" t="s">
        <v>34</v>
      </c>
      <c r="J48" s="187"/>
      <c r="K48" s="318">
        <v>46070</v>
      </c>
    </row>
    <row r="49" spans="1:14" ht="39" customHeight="1" thickBot="1" x14ac:dyDescent="0.4">
      <c r="A49" s="664"/>
      <c r="B49" s="1506" t="s">
        <v>780</v>
      </c>
      <c r="C49" s="1507"/>
      <c r="D49" s="1507"/>
      <c r="E49" s="1507"/>
      <c r="F49" s="1507"/>
      <c r="G49" s="1507"/>
      <c r="H49" s="1507"/>
      <c r="I49" s="1507"/>
      <c r="J49" s="1508"/>
      <c r="K49" s="665"/>
      <c r="L49" s="202"/>
    </row>
    <row r="50" spans="1:14" s="430" customFormat="1" ht="39" customHeight="1" x14ac:dyDescent="0.25">
      <c r="A50" s="643">
        <v>1</v>
      </c>
      <c r="B50" s="666" t="s">
        <v>781</v>
      </c>
      <c r="C50" s="667" t="s">
        <v>782</v>
      </c>
      <c r="D50" s="667">
        <v>5</v>
      </c>
      <c r="E50" s="1070" t="s">
        <v>783</v>
      </c>
      <c r="F50" s="668"/>
      <c r="G50" s="1068" t="s">
        <v>784</v>
      </c>
      <c r="H50" s="668"/>
      <c r="I50" s="669"/>
      <c r="J50" s="670" t="s">
        <v>785</v>
      </c>
      <c r="K50" s="506">
        <v>45586</v>
      </c>
    </row>
    <row r="51" spans="1:14" ht="33.75" thickBot="1" x14ac:dyDescent="0.4">
      <c r="A51" s="671">
        <v>2</v>
      </c>
      <c r="B51" s="672" t="s">
        <v>786</v>
      </c>
      <c r="C51" s="661" t="s">
        <v>787</v>
      </c>
      <c r="D51" s="661">
        <v>5</v>
      </c>
      <c r="E51" s="1071" t="s">
        <v>783</v>
      </c>
      <c r="F51" s="662"/>
      <c r="G51" s="1069" t="s">
        <v>788</v>
      </c>
      <c r="H51" s="662"/>
      <c r="I51" s="674"/>
      <c r="J51" s="675" t="s">
        <v>785</v>
      </c>
      <c r="K51" s="318">
        <v>45586</v>
      </c>
    </row>
    <row r="52" spans="1:14" ht="47.25" customHeight="1" x14ac:dyDescent="0.35"/>
    <row r="53" spans="1:14" ht="99.95" customHeight="1" x14ac:dyDescent="0.35"/>
    <row r="54" spans="1:14" x14ac:dyDescent="0.35">
      <c r="B54" s="1509" t="s">
        <v>789</v>
      </c>
      <c r="C54" s="1509"/>
      <c r="D54" s="1509"/>
    </row>
    <row r="55" spans="1:14" s="20" customFormat="1" ht="18.75" thickBot="1" x14ac:dyDescent="0.4">
      <c r="A55" s="676"/>
      <c r="B55" s="62"/>
      <c r="C55" s="62"/>
      <c r="D55" s="62"/>
      <c r="E55" s="205"/>
      <c r="F55" s="677"/>
      <c r="G55" s="62"/>
      <c r="H55" s="677"/>
      <c r="I55" s="62"/>
      <c r="J55" s="62"/>
      <c r="K55" s="61"/>
      <c r="N55" s="65"/>
    </row>
    <row r="56" spans="1:14" s="20" customFormat="1" ht="82.5" x14ac:dyDescent="0.35">
      <c r="A56" s="676"/>
      <c r="B56" s="66" t="s">
        <v>77</v>
      </c>
      <c r="C56" s="67" t="s">
        <v>78</v>
      </c>
      <c r="E56" s="62"/>
      <c r="F56" s="62"/>
      <c r="G56" s="3"/>
      <c r="H56" s="64"/>
      <c r="I56" s="3"/>
      <c r="J56" s="3"/>
      <c r="K56" s="3"/>
      <c r="N56" s="65"/>
    </row>
    <row r="57" spans="1:14" s="20" customFormat="1" x14ac:dyDescent="0.35">
      <c r="A57" s="676"/>
      <c r="B57" s="68" t="s">
        <v>79</v>
      </c>
      <c r="C57" s="69">
        <v>160</v>
      </c>
      <c r="E57" s="62"/>
      <c r="F57" s="62"/>
      <c r="G57" s="3"/>
      <c r="H57" s="64"/>
      <c r="I57" s="3"/>
      <c r="J57" s="3"/>
      <c r="K57" s="3"/>
      <c r="N57" s="65"/>
    </row>
    <row r="58" spans="1:14" s="20" customFormat="1" x14ac:dyDescent="0.35">
      <c r="A58" s="676"/>
      <c r="B58" s="68" t="s">
        <v>80</v>
      </c>
      <c r="C58" s="69">
        <v>380</v>
      </c>
      <c r="E58" s="62"/>
      <c r="F58" s="62"/>
      <c r="G58" s="3"/>
      <c r="H58" s="64"/>
      <c r="I58" s="3"/>
      <c r="J58" s="3"/>
      <c r="K58" s="3"/>
      <c r="N58" s="65"/>
    </row>
    <row r="59" spans="1:14" s="20" customFormat="1" x14ac:dyDescent="0.35">
      <c r="A59" s="676"/>
      <c r="B59" s="68" t="s">
        <v>81</v>
      </c>
      <c r="C59" s="69">
        <v>485</v>
      </c>
      <c r="E59" s="62"/>
      <c r="F59" s="62"/>
      <c r="G59" s="3"/>
      <c r="H59" s="64"/>
      <c r="I59" s="3"/>
      <c r="J59" s="3"/>
      <c r="K59" s="3"/>
      <c r="N59" s="65"/>
    </row>
    <row r="60" spans="1:14" s="20" customFormat="1" x14ac:dyDescent="0.35">
      <c r="A60" s="676"/>
      <c r="B60" s="70" t="s">
        <v>82</v>
      </c>
      <c r="C60" s="71">
        <v>540</v>
      </c>
      <c r="E60" s="62"/>
      <c r="F60" s="62"/>
      <c r="G60" s="3"/>
      <c r="H60" s="64"/>
      <c r="I60" s="3"/>
      <c r="J60" s="3"/>
      <c r="K60" s="3"/>
      <c r="N60" s="65"/>
    </row>
    <row r="61" spans="1:14" s="20" customFormat="1" ht="18.75" thickBot="1" x14ac:dyDescent="0.4">
      <c r="A61" s="676"/>
      <c r="B61" s="72" t="s">
        <v>83</v>
      </c>
      <c r="C61" s="73">
        <v>760</v>
      </c>
      <c r="E61" s="62"/>
      <c r="F61" s="62"/>
      <c r="G61" s="3"/>
      <c r="H61" s="64"/>
      <c r="I61" s="3"/>
      <c r="J61" s="3"/>
      <c r="K61" s="3"/>
      <c r="N61" s="65"/>
    </row>
    <row r="62" spans="1:14" s="20" customFormat="1" x14ac:dyDescent="0.35">
      <c r="A62" s="676"/>
      <c r="C62" s="3"/>
      <c r="E62" s="62"/>
      <c r="F62" s="62"/>
      <c r="G62" s="3"/>
      <c r="H62" s="64"/>
      <c r="I62" s="3"/>
      <c r="J62" s="3"/>
      <c r="K62" s="3"/>
      <c r="L62" s="3"/>
    </row>
    <row r="63" spans="1:14" s="20" customFormat="1" ht="18.75" x14ac:dyDescent="0.35">
      <c r="B63" s="1510" t="s">
        <v>273</v>
      </c>
      <c r="C63" s="1510"/>
      <c r="D63" s="1510"/>
      <c r="E63" s="1510"/>
      <c r="F63" s="1510"/>
      <c r="G63" s="63"/>
      <c r="H63" s="64"/>
      <c r="I63" s="64"/>
      <c r="J63" s="64"/>
      <c r="K63" s="3"/>
      <c r="L63" s="213"/>
    </row>
    <row r="64" spans="1:14" s="20" customFormat="1" ht="63.75" customHeight="1" x14ac:dyDescent="0.3">
      <c r="B64" s="1182" t="s">
        <v>85</v>
      </c>
      <c r="C64" s="1182"/>
      <c r="D64" s="1182"/>
      <c r="E64" s="1182"/>
      <c r="F64" s="1182"/>
      <c r="G64" s="1182"/>
      <c r="H64" s="1182"/>
      <c r="I64" s="1182"/>
      <c r="J64" s="1182"/>
      <c r="K64" s="1182"/>
      <c r="L64" s="214"/>
    </row>
    <row r="65" spans="1:12" s="20" customFormat="1" ht="50.25" customHeight="1" x14ac:dyDescent="0.3">
      <c r="B65" s="1178" t="s">
        <v>95</v>
      </c>
      <c r="C65" s="1178"/>
      <c r="D65" s="1178"/>
      <c r="E65" s="1178"/>
      <c r="F65" s="1178"/>
      <c r="G65" s="1178"/>
      <c r="H65" s="1178"/>
      <c r="I65" s="1178"/>
      <c r="J65" s="1178"/>
      <c r="K65" s="1178"/>
      <c r="L65" s="214"/>
    </row>
    <row r="66" spans="1:12" s="20" customFormat="1" ht="36" customHeight="1" x14ac:dyDescent="0.3">
      <c r="B66" s="1178" t="s">
        <v>96</v>
      </c>
      <c r="C66" s="1178"/>
      <c r="D66" s="1178"/>
      <c r="E66" s="1178"/>
      <c r="F66" s="1178"/>
      <c r="G66" s="1178"/>
      <c r="H66" s="1178"/>
      <c r="I66" s="1178"/>
      <c r="J66" s="1178"/>
      <c r="K66" s="1178"/>
      <c r="L66" s="214"/>
    </row>
    <row r="67" spans="1:12" s="20" customFormat="1" ht="63.75" customHeight="1" x14ac:dyDescent="0.3">
      <c r="B67" s="1178" t="s">
        <v>97</v>
      </c>
      <c r="C67" s="1178"/>
      <c r="D67" s="1178"/>
      <c r="E67" s="1178"/>
      <c r="F67" s="1178"/>
      <c r="G67" s="1178"/>
      <c r="H67" s="1178"/>
      <c r="I67" s="1178"/>
      <c r="J67" s="1178"/>
      <c r="K67" s="1178"/>
      <c r="L67" s="214"/>
    </row>
    <row r="68" spans="1:12" s="20" customFormat="1" ht="34.5" customHeight="1" x14ac:dyDescent="0.3">
      <c r="B68" s="1178" t="s">
        <v>98</v>
      </c>
      <c r="C68" s="1178"/>
      <c r="D68" s="1178"/>
      <c r="E68" s="1178"/>
      <c r="F68" s="1178"/>
      <c r="G68" s="1178"/>
      <c r="H68" s="1178"/>
      <c r="I68" s="1178"/>
      <c r="J68" s="1178"/>
      <c r="K68" s="1178"/>
      <c r="L68" s="214"/>
    </row>
    <row r="69" spans="1:12" s="20" customFormat="1" ht="28.5" customHeight="1" x14ac:dyDescent="0.3">
      <c r="B69" s="1178" t="s">
        <v>99</v>
      </c>
      <c r="C69" s="1178"/>
      <c r="D69" s="1178"/>
      <c r="E69" s="1178"/>
      <c r="F69" s="1178"/>
      <c r="G69" s="1178"/>
      <c r="H69" s="1178"/>
      <c r="I69" s="1178"/>
      <c r="J69" s="1178"/>
      <c r="K69" s="1178"/>
      <c r="L69" s="214"/>
    </row>
    <row r="70" spans="1:12" s="20" customFormat="1" ht="46.5" customHeight="1" x14ac:dyDescent="0.3">
      <c r="B70" s="1178" t="s">
        <v>274</v>
      </c>
      <c r="C70" s="1178"/>
      <c r="D70" s="1178"/>
      <c r="E70" s="1178"/>
      <c r="F70" s="1178"/>
      <c r="G70" s="1178"/>
      <c r="H70" s="1178"/>
      <c r="I70" s="1178"/>
      <c r="J70" s="1178"/>
      <c r="K70" s="1178"/>
      <c r="L70" s="214"/>
    </row>
    <row r="71" spans="1:12" s="20" customFormat="1" ht="55.5" customHeight="1" x14ac:dyDescent="0.3">
      <c r="B71" s="1178" t="s">
        <v>101</v>
      </c>
      <c r="C71" s="1178"/>
      <c r="D71" s="1178"/>
      <c r="E71" s="1178"/>
      <c r="F71" s="1178"/>
      <c r="G71" s="1178"/>
      <c r="H71" s="1178"/>
      <c r="I71" s="1178"/>
      <c r="J71" s="1178"/>
      <c r="K71" s="1178"/>
      <c r="L71" s="214"/>
    </row>
    <row r="72" spans="1:12" s="20" customFormat="1" x14ac:dyDescent="0.3">
      <c r="B72" s="1178" t="s">
        <v>102</v>
      </c>
      <c r="C72" s="1178"/>
      <c r="D72" s="1178"/>
      <c r="E72" s="1178"/>
      <c r="F72" s="1178"/>
      <c r="G72" s="1178"/>
      <c r="H72" s="1178"/>
      <c r="I72" s="1178"/>
      <c r="J72" s="1178"/>
      <c r="K72" s="1178"/>
      <c r="L72" s="436"/>
    </row>
    <row r="73" spans="1:12" s="20" customFormat="1" x14ac:dyDescent="0.3">
      <c r="B73" s="434"/>
      <c r="C73" s="435"/>
      <c r="D73" s="435"/>
      <c r="E73" s="435"/>
      <c r="F73" s="435"/>
      <c r="G73" s="435"/>
      <c r="H73" s="435"/>
      <c r="I73" s="435"/>
      <c r="J73" s="435"/>
      <c r="K73" s="76"/>
      <c r="L73" s="3"/>
    </row>
    <row r="74" spans="1:12" s="20" customFormat="1" ht="125.25" customHeight="1" x14ac:dyDescent="0.35">
      <c r="B74" s="1213" t="s">
        <v>86</v>
      </c>
      <c r="C74" s="1213"/>
      <c r="D74" s="1213"/>
      <c r="E74" s="1213"/>
      <c r="F74" s="62"/>
      <c r="G74" s="63"/>
      <c r="H74" s="64"/>
      <c r="I74" s="64"/>
      <c r="J74" s="64"/>
      <c r="K74" s="3"/>
      <c r="L74" s="3"/>
    </row>
    <row r="75" spans="1:12" s="20" customFormat="1" ht="54" customHeight="1" x14ac:dyDescent="0.35">
      <c r="B75" s="1214" t="s">
        <v>790</v>
      </c>
      <c r="C75" s="1215"/>
      <c r="D75" s="1215"/>
      <c r="E75" s="1216"/>
      <c r="F75" s="62"/>
      <c r="G75" s="63"/>
      <c r="H75" s="64"/>
      <c r="I75" s="64"/>
      <c r="J75" s="64"/>
      <c r="K75" s="3"/>
      <c r="L75" s="3"/>
    </row>
    <row r="76" spans="1:12" s="20" customFormat="1" ht="42.75" customHeight="1" x14ac:dyDescent="0.35">
      <c r="B76" s="1214" t="s">
        <v>276</v>
      </c>
      <c r="C76" s="1215"/>
      <c r="D76" s="1215"/>
      <c r="E76" s="1216"/>
      <c r="F76" s="62"/>
      <c r="G76" s="63"/>
      <c r="H76" s="64"/>
      <c r="I76" s="64"/>
      <c r="J76" s="64"/>
      <c r="K76" s="3"/>
      <c r="L76" s="3"/>
    </row>
    <row r="77" spans="1:12" s="20" customFormat="1" ht="24.75" customHeight="1" x14ac:dyDescent="0.35">
      <c r="B77" s="1177" t="s">
        <v>89</v>
      </c>
      <c r="C77" s="1177"/>
      <c r="D77" s="1177"/>
      <c r="E77" s="1177"/>
      <c r="F77" s="62"/>
      <c r="G77" s="63"/>
      <c r="H77" s="64"/>
      <c r="I77" s="64"/>
      <c r="J77" s="64"/>
      <c r="K77" s="3"/>
      <c r="L77" s="3"/>
    </row>
    <row r="78" spans="1:12" s="20" customFormat="1" ht="21" customHeight="1" x14ac:dyDescent="0.35">
      <c r="B78" s="1177" t="s">
        <v>90</v>
      </c>
      <c r="C78" s="1177"/>
      <c r="D78" s="1177"/>
      <c r="E78" s="1177"/>
      <c r="F78" s="62"/>
      <c r="G78" s="63"/>
      <c r="H78" s="64"/>
      <c r="I78" s="64"/>
      <c r="J78" s="64"/>
      <c r="K78" s="3"/>
      <c r="L78" s="3"/>
    </row>
    <row r="79" spans="1:12" x14ac:dyDescent="0.35">
      <c r="A79" s="20"/>
      <c r="B79" s="1177" t="s">
        <v>278</v>
      </c>
      <c r="C79" s="1177"/>
      <c r="D79" s="1177"/>
      <c r="E79" s="1177"/>
      <c r="F79" s="62"/>
      <c r="G79" s="63"/>
      <c r="H79" s="64"/>
      <c r="I79" s="64"/>
      <c r="J79" s="64"/>
      <c r="K79" s="3"/>
    </row>
  </sheetData>
  <mergeCells count="30">
    <mergeCell ref="A1:K1"/>
    <mergeCell ref="E3:F3"/>
    <mergeCell ref="G3:H3"/>
    <mergeCell ref="E17:F17"/>
    <mergeCell ref="E42:F42"/>
    <mergeCell ref="G42:H42"/>
    <mergeCell ref="E5:F5"/>
    <mergeCell ref="G5:H5"/>
    <mergeCell ref="B68:K68"/>
    <mergeCell ref="E44:F44"/>
    <mergeCell ref="G44:H44"/>
    <mergeCell ref="E45:F45"/>
    <mergeCell ref="G45:H45"/>
    <mergeCell ref="B49:J49"/>
    <mergeCell ref="B54:D54"/>
    <mergeCell ref="B63:F63"/>
    <mergeCell ref="B64:K64"/>
    <mergeCell ref="B65:K65"/>
    <mergeCell ref="B66:K66"/>
    <mergeCell ref="B67:K67"/>
    <mergeCell ref="B76:E76"/>
    <mergeCell ref="B77:E77"/>
    <mergeCell ref="B78:E78"/>
    <mergeCell ref="B79:E79"/>
    <mergeCell ref="B69:K69"/>
    <mergeCell ref="B70:K70"/>
    <mergeCell ref="B71:K71"/>
    <mergeCell ref="B72:K72"/>
    <mergeCell ref="B74:E74"/>
    <mergeCell ref="B75:E7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E9D9C-09F4-495E-9735-AA2266178E49}">
  <dimension ref="A1:P77"/>
  <sheetViews>
    <sheetView topLeftCell="A33" workbookViewId="0">
      <selection activeCell="A25" sqref="A25:XFD25"/>
    </sheetView>
  </sheetViews>
  <sheetFormatPr defaultRowHeight="16.5" x14ac:dyDescent="0.3"/>
  <cols>
    <col min="1" max="1" width="6" style="1" customWidth="1"/>
    <col min="2" max="2" width="35.28515625" style="1" customWidth="1"/>
    <col min="3" max="3" width="11.140625" style="1" customWidth="1"/>
    <col min="4" max="4" width="14.5703125" style="1" customWidth="1"/>
    <col min="5" max="5" width="15.5703125" style="1" customWidth="1"/>
    <col min="6" max="9" width="15.7109375" style="731" customWidth="1"/>
    <col min="10" max="10" width="15.42578125" style="1" customWidth="1"/>
    <col min="11" max="11" width="30.42578125" style="1" customWidth="1"/>
    <col min="12" max="12" width="21.85546875" style="1" customWidth="1"/>
    <col min="13" max="241" width="9.140625" style="1"/>
    <col min="242" max="242" width="23.140625" style="1" customWidth="1"/>
    <col min="243" max="244" width="0" style="1" hidden="1" customWidth="1"/>
    <col min="245" max="245" width="6.85546875" style="1" customWidth="1"/>
    <col min="246" max="246" width="9.28515625" style="1" customWidth="1"/>
    <col min="247" max="247" width="8.85546875" style="1" customWidth="1"/>
    <col min="248" max="250" width="0" style="1" hidden="1" customWidth="1"/>
    <col min="251" max="251" width="7.42578125" style="1" customWidth="1"/>
    <col min="252" max="252" width="9.140625" style="1"/>
    <col min="253" max="253" width="8" style="1" customWidth="1"/>
    <col min="254" max="256" width="0" style="1" hidden="1" customWidth="1"/>
    <col min="257" max="257" width="11.85546875" style="1" customWidth="1"/>
    <col min="258" max="258" width="46.140625" style="1" customWidth="1"/>
    <col min="259" max="267" width="0" style="1" hidden="1" customWidth="1"/>
    <col min="268" max="497" width="9.140625" style="1"/>
    <col min="498" max="498" width="23.140625" style="1" customWidth="1"/>
    <col min="499" max="500" width="0" style="1" hidden="1" customWidth="1"/>
    <col min="501" max="501" width="6.85546875" style="1" customWidth="1"/>
    <col min="502" max="502" width="9.28515625" style="1" customWidth="1"/>
    <col min="503" max="503" width="8.85546875" style="1" customWidth="1"/>
    <col min="504" max="506" width="0" style="1" hidden="1" customWidth="1"/>
    <col min="507" max="507" width="7.42578125" style="1" customWidth="1"/>
    <col min="508" max="508" width="9.140625" style="1"/>
    <col min="509" max="509" width="8" style="1" customWidth="1"/>
    <col min="510" max="512" width="0" style="1" hidden="1" customWidth="1"/>
    <col min="513" max="513" width="11.85546875" style="1" customWidth="1"/>
    <col min="514" max="514" width="46.140625" style="1" customWidth="1"/>
    <col min="515" max="523" width="0" style="1" hidden="1" customWidth="1"/>
    <col min="524" max="753" width="9.140625" style="1"/>
    <col min="754" max="754" width="23.140625" style="1" customWidth="1"/>
    <col min="755" max="756" width="0" style="1" hidden="1" customWidth="1"/>
    <col min="757" max="757" width="6.85546875" style="1" customWidth="1"/>
    <col min="758" max="758" width="9.28515625" style="1" customWidth="1"/>
    <col min="759" max="759" width="8.85546875" style="1" customWidth="1"/>
    <col min="760" max="762" width="0" style="1" hidden="1" customWidth="1"/>
    <col min="763" max="763" width="7.42578125" style="1" customWidth="1"/>
    <col min="764" max="764" width="9.140625" style="1"/>
    <col min="765" max="765" width="8" style="1" customWidth="1"/>
    <col min="766" max="768" width="0" style="1" hidden="1" customWidth="1"/>
    <col min="769" max="769" width="11.85546875" style="1" customWidth="1"/>
    <col min="770" max="770" width="46.140625" style="1" customWidth="1"/>
    <col min="771" max="779" width="0" style="1" hidden="1" customWidth="1"/>
    <col min="780" max="1009" width="9.140625" style="1"/>
    <col min="1010" max="1010" width="23.140625" style="1" customWidth="1"/>
    <col min="1011" max="1012" width="0" style="1" hidden="1" customWidth="1"/>
    <col min="1013" max="1013" width="6.85546875" style="1" customWidth="1"/>
    <col min="1014" max="1014" width="9.28515625" style="1" customWidth="1"/>
    <col min="1015" max="1015" width="8.85546875" style="1" customWidth="1"/>
    <col min="1016" max="1018" width="0" style="1" hidden="1" customWidth="1"/>
    <col min="1019" max="1019" width="7.42578125" style="1" customWidth="1"/>
    <col min="1020" max="1020" width="9.140625" style="1"/>
    <col min="1021" max="1021" width="8" style="1" customWidth="1"/>
    <col min="1022" max="1024" width="0" style="1" hidden="1" customWidth="1"/>
    <col min="1025" max="1025" width="11.85546875" style="1" customWidth="1"/>
    <col min="1026" max="1026" width="46.140625" style="1" customWidth="1"/>
    <col min="1027" max="1035" width="0" style="1" hidden="1" customWidth="1"/>
    <col min="1036" max="1265" width="9.140625" style="1"/>
    <col min="1266" max="1266" width="23.140625" style="1" customWidth="1"/>
    <col min="1267" max="1268" width="0" style="1" hidden="1" customWidth="1"/>
    <col min="1269" max="1269" width="6.85546875" style="1" customWidth="1"/>
    <col min="1270" max="1270" width="9.28515625" style="1" customWidth="1"/>
    <col min="1271" max="1271" width="8.85546875" style="1" customWidth="1"/>
    <col min="1272" max="1274" width="0" style="1" hidden="1" customWidth="1"/>
    <col min="1275" max="1275" width="7.42578125" style="1" customWidth="1"/>
    <col min="1276" max="1276" width="9.140625" style="1"/>
    <col min="1277" max="1277" width="8" style="1" customWidth="1"/>
    <col min="1278" max="1280" width="0" style="1" hidden="1" customWidth="1"/>
    <col min="1281" max="1281" width="11.85546875" style="1" customWidth="1"/>
    <col min="1282" max="1282" width="46.140625" style="1" customWidth="1"/>
    <col min="1283" max="1291" width="0" style="1" hidden="1" customWidth="1"/>
    <col min="1292" max="1521" width="9.140625" style="1"/>
    <col min="1522" max="1522" width="23.140625" style="1" customWidth="1"/>
    <col min="1523" max="1524" width="0" style="1" hidden="1" customWidth="1"/>
    <col min="1525" max="1525" width="6.85546875" style="1" customWidth="1"/>
    <col min="1526" max="1526" width="9.28515625" style="1" customWidth="1"/>
    <col min="1527" max="1527" width="8.85546875" style="1" customWidth="1"/>
    <col min="1528" max="1530" width="0" style="1" hidden="1" customWidth="1"/>
    <col min="1531" max="1531" width="7.42578125" style="1" customWidth="1"/>
    <col min="1532" max="1532" width="9.140625" style="1"/>
    <col min="1533" max="1533" width="8" style="1" customWidth="1"/>
    <col min="1534" max="1536" width="0" style="1" hidden="1" customWidth="1"/>
    <col min="1537" max="1537" width="11.85546875" style="1" customWidth="1"/>
    <col min="1538" max="1538" width="46.140625" style="1" customWidth="1"/>
    <col min="1539" max="1547" width="0" style="1" hidden="1" customWidth="1"/>
    <col min="1548" max="1777" width="9.140625" style="1"/>
    <col min="1778" max="1778" width="23.140625" style="1" customWidth="1"/>
    <col min="1779" max="1780" width="0" style="1" hidden="1" customWidth="1"/>
    <col min="1781" max="1781" width="6.85546875" style="1" customWidth="1"/>
    <col min="1782" max="1782" width="9.28515625" style="1" customWidth="1"/>
    <col min="1783" max="1783" width="8.85546875" style="1" customWidth="1"/>
    <col min="1784" max="1786" width="0" style="1" hidden="1" customWidth="1"/>
    <col min="1787" max="1787" width="7.42578125" style="1" customWidth="1"/>
    <col min="1788" max="1788" width="9.140625" style="1"/>
    <col min="1789" max="1789" width="8" style="1" customWidth="1"/>
    <col min="1790" max="1792" width="0" style="1" hidden="1" customWidth="1"/>
    <col min="1793" max="1793" width="11.85546875" style="1" customWidth="1"/>
    <col min="1794" max="1794" width="46.140625" style="1" customWidth="1"/>
    <col min="1795" max="1803" width="0" style="1" hidden="1" customWidth="1"/>
    <col min="1804" max="2033" width="9.140625" style="1"/>
    <col min="2034" max="2034" width="23.140625" style="1" customWidth="1"/>
    <col min="2035" max="2036" width="0" style="1" hidden="1" customWidth="1"/>
    <col min="2037" max="2037" width="6.85546875" style="1" customWidth="1"/>
    <col min="2038" max="2038" width="9.28515625" style="1" customWidth="1"/>
    <col min="2039" max="2039" width="8.85546875" style="1" customWidth="1"/>
    <col min="2040" max="2042" width="0" style="1" hidden="1" customWidth="1"/>
    <col min="2043" max="2043" width="7.42578125" style="1" customWidth="1"/>
    <col min="2044" max="2044" width="9.140625" style="1"/>
    <col min="2045" max="2045" width="8" style="1" customWidth="1"/>
    <col min="2046" max="2048" width="0" style="1" hidden="1" customWidth="1"/>
    <col min="2049" max="2049" width="11.85546875" style="1" customWidth="1"/>
    <col min="2050" max="2050" width="46.140625" style="1" customWidth="1"/>
    <col min="2051" max="2059" width="0" style="1" hidden="1" customWidth="1"/>
    <col min="2060" max="2289" width="9.140625" style="1"/>
    <col min="2290" max="2290" width="23.140625" style="1" customWidth="1"/>
    <col min="2291" max="2292" width="0" style="1" hidden="1" customWidth="1"/>
    <col min="2293" max="2293" width="6.85546875" style="1" customWidth="1"/>
    <col min="2294" max="2294" width="9.28515625" style="1" customWidth="1"/>
    <col min="2295" max="2295" width="8.85546875" style="1" customWidth="1"/>
    <col min="2296" max="2298" width="0" style="1" hidden="1" customWidth="1"/>
    <col min="2299" max="2299" width="7.42578125" style="1" customWidth="1"/>
    <col min="2300" max="2300" width="9.140625" style="1"/>
    <col min="2301" max="2301" width="8" style="1" customWidth="1"/>
    <col min="2302" max="2304" width="0" style="1" hidden="1" customWidth="1"/>
    <col min="2305" max="2305" width="11.85546875" style="1" customWidth="1"/>
    <col min="2306" max="2306" width="46.140625" style="1" customWidth="1"/>
    <col min="2307" max="2315" width="0" style="1" hidden="1" customWidth="1"/>
    <col min="2316" max="2545" width="9.140625" style="1"/>
    <col min="2546" max="2546" width="23.140625" style="1" customWidth="1"/>
    <col min="2547" max="2548" width="0" style="1" hidden="1" customWidth="1"/>
    <col min="2549" max="2549" width="6.85546875" style="1" customWidth="1"/>
    <col min="2550" max="2550" width="9.28515625" style="1" customWidth="1"/>
    <col min="2551" max="2551" width="8.85546875" style="1" customWidth="1"/>
    <col min="2552" max="2554" width="0" style="1" hidden="1" customWidth="1"/>
    <col min="2555" max="2555" width="7.42578125" style="1" customWidth="1"/>
    <col min="2556" max="2556" width="9.140625" style="1"/>
    <col min="2557" max="2557" width="8" style="1" customWidth="1"/>
    <col min="2558" max="2560" width="0" style="1" hidden="1" customWidth="1"/>
    <col min="2561" max="2561" width="11.85546875" style="1" customWidth="1"/>
    <col min="2562" max="2562" width="46.140625" style="1" customWidth="1"/>
    <col min="2563" max="2571" width="0" style="1" hidden="1" customWidth="1"/>
    <col min="2572" max="2801" width="9.140625" style="1"/>
    <col min="2802" max="2802" width="23.140625" style="1" customWidth="1"/>
    <col min="2803" max="2804" width="0" style="1" hidden="1" customWidth="1"/>
    <col min="2805" max="2805" width="6.85546875" style="1" customWidth="1"/>
    <col min="2806" max="2806" width="9.28515625" style="1" customWidth="1"/>
    <col min="2807" max="2807" width="8.85546875" style="1" customWidth="1"/>
    <col min="2808" max="2810" width="0" style="1" hidden="1" customWidth="1"/>
    <col min="2811" max="2811" width="7.42578125" style="1" customWidth="1"/>
    <col min="2812" max="2812" width="9.140625" style="1"/>
    <col min="2813" max="2813" width="8" style="1" customWidth="1"/>
    <col min="2814" max="2816" width="0" style="1" hidden="1" customWidth="1"/>
    <col min="2817" max="2817" width="11.85546875" style="1" customWidth="1"/>
    <col min="2818" max="2818" width="46.140625" style="1" customWidth="1"/>
    <col min="2819" max="2827" width="0" style="1" hidden="1" customWidth="1"/>
    <col min="2828" max="3057" width="9.140625" style="1"/>
    <col min="3058" max="3058" width="23.140625" style="1" customWidth="1"/>
    <col min="3059" max="3060" width="0" style="1" hidden="1" customWidth="1"/>
    <col min="3061" max="3061" width="6.85546875" style="1" customWidth="1"/>
    <col min="3062" max="3062" width="9.28515625" style="1" customWidth="1"/>
    <col min="3063" max="3063" width="8.85546875" style="1" customWidth="1"/>
    <col min="3064" max="3066" width="0" style="1" hidden="1" customWidth="1"/>
    <col min="3067" max="3067" width="7.42578125" style="1" customWidth="1"/>
    <col min="3068" max="3068" width="9.140625" style="1"/>
    <col min="3069" max="3069" width="8" style="1" customWidth="1"/>
    <col min="3070" max="3072" width="0" style="1" hidden="1" customWidth="1"/>
    <col min="3073" max="3073" width="11.85546875" style="1" customWidth="1"/>
    <col min="3074" max="3074" width="46.140625" style="1" customWidth="1"/>
    <col min="3075" max="3083" width="0" style="1" hidden="1" customWidth="1"/>
    <col min="3084" max="3313" width="9.140625" style="1"/>
    <col min="3314" max="3314" width="23.140625" style="1" customWidth="1"/>
    <col min="3315" max="3316" width="0" style="1" hidden="1" customWidth="1"/>
    <col min="3317" max="3317" width="6.85546875" style="1" customWidth="1"/>
    <col min="3318" max="3318" width="9.28515625" style="1" customWidth="1"/>
    <col min="3319" max="3319" width="8.85546875" style="1" customWidth="1"/>
    <col min="3320" max="3322" width="0" style="1" hidden="1" customWidth="1"/>
    <col min="3323" max="3323" width="7.42578125" style="1" customWidth="1"/>
    <col min="3324" max="3324" width="9.140625" style="1"/>
    <col min="3325" max="3325" width="8" style="1" customWidth="1"/>
    <col min="3326" max="3328" width="0" style="1" hidden="1" customWidth="1"/>
    <col min="3329" max="3329" width="11.85546875" style="1" customWidth="1"/>
    <col min="3330" max="3330" width="46.140625" style="1" customWidth="1"/>
    <col min="3331" max="3339" width="0" style="1" hidden="1" customWidth="1"/>
    <col min="3340" max="3569" width="9.140625" style="1"/>
    <col min="3570" max="3570" width="23.140625" style="1" customWidth="1"/>
    <col min="3571" max="3572" width="0" style="1" hidden="1" customWidth="1"/>
    <col min="3573" max="3573" width="6.85546875" style="1" customWidth="1"/>
    <col min="3574" max="3574" width="9.28515625" style="1" customWidth="1"/>
    <col min="3575" max="3575" width="8.85546875" style="1" customWidth="1"/>
    <col min="3576" max="3578" width="0" style="1" hidden="1" customWidth="1"/>
    <col min="3579" max="3579" width="7.42578125" style="1" customWidth="1"/>
    <col min="3580" max="3580" width="9.140625" style="1"/>
    <col min="3581" max="3581" width="8" style="1" customWidth="1"/>
    <col min="3582" max="3584" width="0" style="1" hidden="1" customWidth="1"/>
    <col min="3585" max="3585" width="11.85546875" style="1" customWidth="1"/>
    <col min="3586" max="3586" width="46.140625" style="1" customWidth="1"/>
    <col min="3587" max="3595" width="0" style="1" hidden="1" customWidth="1"/>
    <col min="3596" max="3825" width="9.140625" style="1"/>
    <col min="3826" max="3826" width="23.140625" style="1" customWidth="1"/>
    <col min="3827" max="3828" width="0" style="1" hidden="1" customWidth="1"/>
    <col min="3829" max="3829" width="6.85546875" style="1" customWidth="1"/>
    <col min="3830" max="3830" width="9.28515625" style="1" customWidth="1"/>
    <col min="3831" max="3831" width="8.85546875" style="1" customWidth="1"/>
    <col min="3832" max="3834" width="0" style="1" hidden="1" customWidth="1"/>
    <col min="3835" max="3835" width="7.42578125" style="1" customWidth="1"/>
    <col min="3836" max="3836" width="9.140625" style="1"/>
    <col min="3837" max="3837" width="8" style="1" customWidth="1"/>
    <col min="3838" max="3840" width="0" style="1" hidden="1" customWidth="1"/>
    <col min="3841" max="3841" width="11.85546875" style="1" customWidth="1"/>
    <col min="3842" max="3842" width="46.140625" style="1" customWidth="1"/>
    <col min="3843" max="3851" width="0" style="1" hidden="1" customWidth="1"/>
    <col min="3852" max="4081" width="9.140625" style="1"/>
    <col min="4082" max="4082" width="23.140625" style="1" customWidth="1"/>
    <col min="4083" max="4084" width="0" style="1" hidden="1" customWidth="1"/>
    <col min="4085" max="4085" width="6.85546875" style="1" customWidth="1"/>
    <col min="4086" max="4086" width="9.28515625" style="1" customWidth="1"/>
    <col min="4087" max="4087" width="8.85546875" style="1" customWidth="1"/>
    <col min="4088" max="4090" width="0" style="1" hidden="1" customWidth="1"/>
    <col min="4091" max="4091" width="7.42578125" style="1" customWidth="1"/>
    <col min="4092" max="4092" width="9.140625" style="1"/>
    <col min="4093" max="4093" width="8" style="1" customWidth="1"/>
    <col min="4094" max="4096" width="0" style="1" hidden="1" customWidth="1"/>
    <col min="4097" max="4097" width="11.85546875" style="1" customWidth="1"/>
    <col min="4098" max="4098" width="46.140625" style="1" customWidth="1"/>
    <col min="4099" max="4107" width="0" style="1" hidden="1" customWidth="1"/>
    <col min="4108" max="4337" width="9.140625" style="1"/>
    <col min="4338" max="4338" width="23.140625" style="1" customWidth="1"/>
    <col min="4339" max="4340" width="0" style="1" hidden="1" customWidth="1"/>
    <col min="4341" max="4341" width="6.85546875" style="1" customWidth="1"/>
    <col min="4342" max="4342" width="9.28515625" style="1" customWidth="1"/>
    <col min="4343" max="4343" width="8.85546875" style="1" customWidth="1"/>
    <col min="4344" max="4346" width="0" style="1" hidden="1" customWidth="1"/>
    <col min="4347" max="4347" width="7.42578125" style="1" customWidth="1"/>
    <col min="4348" max="4348" width="9.140625" style="1"/>
    <col min="4349" max="4349" width="8" style="1" customWidth="1"/>
    <col min="4350" max="4352" width="0" style="1" hidden="1" customWidth="1"/>
    <col min="4353" max="4353" width="11.85546875" style="1" customWidth="1"/>
    <col min="4354" max="4354" width="46.140625" style="1" customWidth="1"/>
    <col min="4355" max="4363" width="0" style="1" hidden="1" customWidth="1"/>
    <col min="4364" max="4593" width="9.140625" style="1"/>
    <col min="4594" max="4594" width="23.140625" style="1" customWidth="1"/>
    <col min="4595" max="4596" width="0" style="1" hidden="1" customWidth="1"/>
    <col min="4597" max="4597" width="6.85546875" style="1" customWidth="1"/>
    <col min="4598" max="4598" width="9.28515625" style="1" customWidth="1"/>
    <col min="4599" max="4599" width="8.85546875" style="1" customWidth="1"/>
    <col min="4600" max="4602" width="0" style="1" hidden="1" customWidth="1"/>
    <col min="4603" max="4603" width="7.42578125" style="1" customWidth="1"/>
    <col min="4604" max="4604" width="9.140625" style="1"/>
    <col min="4605" max="4605" width="8" style="1" customWidth="1"/>
    <col min="4606" max="4608" width="0" style="1" hidden="1" customWidth="1"/>
    <col min="4609" max="4609" width="11.85546875" style="1" customWidth="1"/>
    <col min="4610" max="4610" width="46.140625" style="1" customWidth="1"/>
    <col min="4611" max="4619" width="0" style="1" hidden="1" customWidth="1"/>
    <col min="4620" max="4849" width="9.140625" style="1"/>
    <col min="4850" max="4850" width="23.140625" style="1" customWidth="1"/>
    <col min="4851" max="4852" width="0" style="1" hidden="1" customWidth="1"/>
    <col min="4853" max="4853" width="6.85546875" style="1" customWidth="1"/>
    <col min="4854" max="4854" width="9.28515625" style="1" customWidth="1"/>
    <col min="4855" max="4855" width="8.85546875" style="1" customWidth="1"/>
    <col min="4856" max="4858" width="0" style="1" hidden="1" customWidth="1"/>
    <col min="4859" max="4859" width="7.42578125" style="1" customWidth="1"/>
    <col min="4860" max="4860" width="9.140625" style="1"/>
    <col min="4861" max="4861" width="8" style="1" customWidth="1"/>
    <col min="4862" max="4864" width="0" style="1" hidden="1" customWidth="1"/>
    <col min="4865" max="4865" width="11.85546875" style="1" customWidth="1"/>
    <col min="4866" max="4866" width="46.140625" style="1" customWidth="1"/>
    <col min="4867" max="4875" width="0" style="1" hidden="1" customWidth="1"/>
    <col min="4876" max="5105" width="9.140625" style="1"/>
    <col min="5106" max="5106" width="23.140625" style="1" customWidth="1"/>
    <col min="5107" max="5108" width="0" style="1" hidden="1" customWidth="1"/>
    <col min="5109" max="5109" width="6.85546875" style="1" customWidth="1"/>
    <col min="5110" max="5110" width="9.28515625" style="1" customWidth="1"/>
    <col min="5111" max="5111" width="8.85546875" style="1" customWidth="1"/>
    <col min="5112" max="5114" width="0" style="1" hidden="1" customWidth="1"/>
    <col min="5115" max="5115" width="7.42578125" style="1" customWidth="1"/>
    <col min="5116" max="5116" width="9.140625" style="1"/>
    <col min="5117" max="5117" width="8" style="1" customWidth="1"/>
    <col min="5118" max="5120" width="0" style="1" hidden="1" customWidth="1"/>
    <col min="5121" max="5121" width="11.85546875" style="1" customWidth="1"/>
    <col min="5122" max="5122" width="46.140625" style="1" customWidth="1"/>
    <col min="5123" max="5131" width="0" style="1" hidden="1" customWidth="1"/>
    <col min="5132" max="5361" width="9.140625" style="1"/>
    <col min="5362" max="5362" width="23.140625" style="1" customWidth="1"/>
    <col min="5363" max="5364" width="0" style="1" hidden="1" customWidth="1"/>
    <col min="5365" max="5365" width="6.85546875" style="1" customWidth="1"/>
    <col min="5366" max="5366" width="9.28515625" style="1" customWidth="1"/>
    <col min="5367" max="5367" width="8.85546875" style="1" customWidth="1"/>
    <col min="5368" max="5370" width="0" style="1" hidden="1" customWidth="1"/>
    <col min="5371" max="5371" width="7.42578125" style="1" customWidth="1"/>
    <col min="5372" max="5372" width="9.140625" style="1"/>
    <col min="5373" max="5373" width="8" style="1" customWidth="1"/>
    <col min="5374" max="5376" width="0" style="1" hidden="1" customWidth="1"/>
    <col min="5377" max="5377" width="11.85546875" style="1" customWidth="1"/>
    <col min="5378" max="5378" width="46.140625" style="1" customWidth="1"/>
    <col min="5379" max="5387" width="0" style="1" hidden="1" customWidth="1"/>
    <col min="5388" max="5617" width="9.140625" style="1"/>
    <col min="5618" max="5618" width="23.140625" style="1" customWidth="1"/>
    <col min="5619" max="5620" width="0" style="1" hidden="1" customWidth="1"/>
    <col min="5621" max="5621" width="6.85546875" style="1" customWidth="1"/>
    <col min="5622" max="5622" width="9.28515625" style="1" customWidth="1"/>
    <col min="5623" max="5623" width="8.85546875" style="1" customWidth="1"/>
    <col min="5624" max="5626" width="0" style="1" hidden="1" customWidth="1"/>
    <col min="5627" max="5627" width="7.42578125" style="1" customWidth="1"/>
    <col min="5628" max="5628" width="9.140625" style="1"/>
    <col min="5629" max="5629" width="8" style="1" customWidth="1"/>
    <col min="5630" max="5632" width="0" style="1" hidden="1" customWidth="1"/>
    <col min="5633" max="5633" width="11.85546875" style="1" customWidth="1"/>
    <col min="5634" max="5634" width="46.140625" style="1" customWidth="1"/>
    <col min="5635" max="5643" width="0" style="1" hidden="1" customWidth="1"/>
    <col min="5644" max="5873" width="9.140625" style="1"/>
    <col min="5874" max="5874" width="23.140625" style="1" customWidth="1"/>
    <col min="5875" max="5876" width="0" style="1" hidden="1" customWidth="1"/>
    <col min="5877" max="5877" width="6.85546875" style="1" customWidth="1"/>
    <col min="5878" max="5878" width="9.28515625" style="1" customWidth="1"/>
    <col min="5879" max="5879" width="8.85546875" style="1" customWidth="1"/>
    <col min="5880" max="5882" width="0" style="1" hidden="1" customWidth="1"/>
    <col min="5883" max="5883" width="7.42578125" style="1" customWidth="1"/>
    <col min="5884" max="5884" width="9.140625" style="1"/>
    <col min="5885" max="5885" width="8" style="1" customWidth="1"/>
    <col min="5886" max="5888" width="0" style="1" hidden="1" customWidth="1"/>
    <col min="5889" max="5889" width="11.85546875" style="1" customWidth="1"/>
    <col min="5890" max="5890" width="46.140625" style="1" customWidth="1"/>
    <col min="5891" max="5899" width="0" style="1" hidden="1" customWidth="1"/>
    <col min="5900" max="6129" width="9.140625" style="1"/>
    <col min="6130" max="6130" width="23.140625" style="1" customWidth="1"/>
    <col min="6131" max="6132" width="0" style="1" hidden="1" customWidth="1"/>
    <col min="6133" max="6133" width="6.85546875" style="1" customWidth="1"/>
    <col min="6134" max="6134" width="9.28515625" style="1" customWidth="1"/>
    <col min="6135" max="6135" width="8.85546875" style="1" customWidth="1"/>
    <col min="6136" max="6138" width="0" style="1" hidden="1" customWidth="1"/>
    <col min="6139" max="6139" width="7.42578125" style="1" customWidth="1"/>
    <col min="6140" max="6140" width="9.140625" style="1"/>
    <col min="6141" max="6141" width="8" style="1" customWidth="1"/>
    <col min="6142" max="6144" width="0" style="1" hidden="1" customWidth="1"/>
    <col min="6145" max="6145" width="11.85546875" style="1" customWidth="1"/>
    <col min="6146" max="6146" width="46.140625" style="1" customWidth="1"/>
    <col min="6147" max="6155" width="0" style="1" hidden="1" customWidth="1"/>
    <col min="6156" max="6385" width="9.140625" style="1"/>
    <col min="6386" max="6386" width="23.140625" style="1" customWidth="1"/>
    <col min="6387" max="6388" width="0" style="1" hidden="1" customWidth="1"/>
    <col min="6389" max="6389" width="6.85546875" style="1" customWidth="1"/>
    <col min="6390" max="6390" width="9.28515625" style="1" customWidth="1"/>
    <col min="6391" max="6391" width="8.85546875" style="1" customWidth="1"/>
    <col min="6392" max="6394" width="0" style="1" hidden="1" customWidth="1"/>
    <col min="6395" max="6395" width="7.42578125" style="1" customWidth="1"/>
    <col min="6396" max="6396" width="9.140625" style="1"/>
    <col min="6397" max="6397" width="8" style="1" customWidth="1"/>
    <col min="6398" max="6400" width="0" style="1" hidden="1" customWidth="1"/>
    <col min="6401" max="6401" width="11.85546875" style="1" customWidth="1"/>
    <col min="6402" max="6402" width="46.140625" style="1" customWidth="1"/>
    <col min="6403" max="6411" width="0" style="1" hidden="1" customWidth="1"/>
    <col min="6412" max="6641" width="9.140625" style="1"/>
    <col min="6642" max="6642" width="23.140625" style="1" customWidth="1"/>
    <col min="6643" max="6644" width="0" style="1" hidden="1" customWidth="1"/>
    <col min="6645" max="6645" width="6.85546875" style="1" customWidth="1"/>
    <col min="6646" max="6646" width="9.28515625" style="1" customWidth="1"/>
    <col min="6647" max="6647" width="8.85546875" style="1" customWidth="1"/>
    <col min="6648" max="6650" width="0" style="1" hidden="1" customWidth="1"/>
    <col min="6651" max="6651" width="7.42578125" style="1" customWidth="1"/>
    <col min="6652" max="6652" width="9.140625" style="1"/>
    <col min="6653" max="6653" width="8" style="1" customWidth="1"/>
    <col min="6654" max="6656" width="0" style="1" hidden="1" customWidth="1"/>
    <col min="6657" max="6657" width="11.85546875" style="1" customWidth="1"/>
    <col min="6658" max="6658" width="46.140625" style="1" customWidth="1"/>
    <col min="6659" max="6667" width="0" style="1" hidden="1" customWidth="1"/>
    <col min="6668" max="6897" width="9.140625" style="1"/>
    <col min="6898" max="6898" width="23.140625" style="1" customWidth="1"/>
    <col min="6899" max="6900" width="0" style="1" hidden="1" customWidth="1"/>
    <col min="6901" max="6901" width="6.85546875" style="1" customWidth="1"/>
    <col min="6902" max="6902" width="9.28515625" style="1" customWidth="1"/>
    <col min="6903" max="6903" width="8.85546875" style="1" customWidth="1"/>
    <col min="6904" max="6906" width="0" style="1" hidden="1" customWidth="1"/>
    <col min="6907" max="6907" width="7.42578125" style="1" customWidth="1"/>
    <col min="6908" max="6908" width="9.140625" style="1"/>
    <col min="6909" max="6909" width="8" style="1" customWidth="1"/>
    <col min="6910" max="6912" width="0" style="1" hidden="1" customWidth="1"/>
    <col min="6913" max="6913" width="11.85546875" style="1" customWidth="1"/>
    <col min="6914" max="6914" width="46.140625" style="1" customWidth="1"/>
    <col min="6915" max="6923" width="0" style="1" hidden="1" customWidth="1"/>
    <col min="6924" max="7153" width="9.140625" style="1"/>
    <col min="7154" max="7154" width="23.140625" style="1" customWidth="1"/>
    <col min="7155" max="7156" width="0" style="1" hidden="1" customWidth="1"/>
    <col min="7157" max="7157" width="6.85546875" style="1" customWidth="1"/>
    <col min="7158" max="7158" width="9.28515625" style="1" customWidth="1"/>
    <col min="7159" max="7159" width="8.85546875" style="1" customWidth="1"/>
    <col min="7160" max="7162" width="0" style="1" hidden="1" customWidth="1"/>
    <col min="7163" max="7163" width="7.42578125" style="1" customWidth="1"/>
    <col min="7164" max="7164" width="9.140625" style="1"/>
    <col min="7165" max="7165" width="8" style="1" customWidth="1"/>
    <col min="7166" max="7168" width="0" style="1" hidden="1" customWidth="1"/>
    <col min="7169" max="7169" width="11.85546875" style="1" customWidth="1"/>
    <col min="7170" max="7170" width="46.140625" style="1" customWidth="1"/>
    <col min="7171" max="7179" width="0" style="1" hidden="1" customWidth="1"/>
    <col min="7180" max="7409" width="9.140625" style="1"/>
    <col min="7410" max="7410" width="23.140625" style="1" customWidth="1"/>
    <col min="7411" max="7412" width="0" style="1" hidden="1" customWidth="1"/>
    <col min="7413" max="7413" width="6.85546875" style="1" customWidth="1"/>
    <col min="7414" max="7414" width="9.28515625" style="1" customWidth="1"/>
    <col min="7415" max="7415" width="8.85546875" style="1" customWidth="1"/>
    <col min="7416" max="7418" width="0" style="1" hidden="1" customWidth="1"/>
    <col min="7419" max="7419" width="7.42578125" style="1" customWidth="1"/>
    <col min="7420" max="7420" width="9.140625" style="1"/>
    <col min="7421" max="7421" width="8" style="1" customWidth="1"/>
    <col min="7422" max="7424" width="0" style="1" hidden="1" customWidth="1"/>
    <col min="7425" max="7425" width="11.85546875" style="1" customWidth="1"/>
    <col min="7426" max="7426" width="46.140625" style="1" customWidth="1"/>
    <col min="7427" max="7435" width="0" style="1" hidden="1" customWidth="1"/>
    <col min="7436" max="7665" width="9.140625" style="1"/>
    <col min="7666" max="7666" width="23.140625" style="1" customWidth="1"/>
    <col min="7667" max="7668" width="0" style="1" hidden="1" customWidth="1"/>
    <col min="7669" max="7669" width="6.85546875" style="1" customWidth="1"/>
    <col min="7670" max="7670" width="9.28515625" style="1" customWidth="1"/>
    <col min="7671" max="7671" width="8.85546875" style="1" customWidth="1"/>
    <col min="7672" max="7674" width="0" style="1" hidden="1" customWidth="1"/>
    <col min="7675" max="7675" width="7.42578125" style="1" customWidth="1"/>
    <col min="7676" max="7676" width="9.140625" style="1"/>
    <col min="7677" max="7677" width="8" style="1" customWidth="1"/>
    <col min="7678" max="7680" width="0" style="1" hidden="1" customWidth="1"/>
    <col min="7681" max="7681" width="11.85546875" style="1" customWidth="1"/>
    <col min="7682" max="7682" width="46.140625" style="1" customWidth="1"/>
    <col min="7683" max="7691" width="0" style="1" hidden="1" customWidth="1"/>
    <col min="7692" max="7921" width="9.140625" style="1"/>
    <col min="7922" max="7922" width="23.140625" style="1" customWidth="1"/>
    <col min="7923" max="7924" width="0" style="1" hidden="1" customWidth="1"/>
    <col min="7925" max="7925" width="6.85546875" style="1" customWidth="1"/>
    <col min="7926" max="7926" width="9.28515625" style="1" customWidth="1"/>
    <col min="7927" max="7927" width="8.85546875" style="1" customWidth="1"/>
    <col min="7928" max="7930" width="0" style="1" hidden="1" customWidth="1"/>
    <col min="7931" max="7931" width="7.42578125" style="1" customWidth="1"/>
    <col min="7932" max="7932" width="9.140625" style="1"/>
    <col min="7933" max="7933" width="8" style="1" customWidth="1"/>
    <col min="7934" max="7936" width="0" style="1" hidden="1" customWidth="1"/>
    <col min="7937" max="7937" width="11.85546875" style="1" customWidth="1"/>
    <col min="7938" max="7938" width="46.140625" style="1" customWidth="1"/>
    <col min="7939" max="7947" width="0" style="1" hidden="1" customWidth="1"/>
    <col min="7948" max="8177" width="9.140625" style="1"/>
    <col min="8178" max="8178" width="23.140625" style="1" customWidth="1"/>
    <col min="8179" max="8180" width="0" style="1" hidden="1" customWidth="1"/>
    <col min="8181" max="8181" width="6.85546875" style="1" customWidth="1"/>
    <col min="8182" max="8182" width="9.28515625" style="1" customWidth="1"/>
    <col min="8183" max="8183" width="8.85546875" style="1" customWidth="1"/>
    <col min="8184" max="8186" width="0" style="1" hidden="1" customWidth="1"/>
    <col min="8187" max="8187" width="7.42578125" style="1" customWidth="1"/>
    <col min="8188" max="8188" width="9.140625" style="1"/>
    <col min="8189" max="8189" width="8" style="1" customWidth="1"/>
    <col min="8190" max="8192" width="0" style="1" hidden="1" customWidth="1"/>
    <col min="8193" max="8193" width="11.85546875" style="1" customWidth="1"/>
    <col min="8194" max="8194" width="46.140625" style="1" customWidth="1"/>
    <col min="8195" max="8203" width="0" style="1" hidden="1" customWidth="1"/>
    <col min="8204" max="8433" width="9.140625" style="1"/>
    <col min="8434" max="8434" width="23.140625" style="1" customWidth="1"/>
    <col min="8435" max="8436" width="0" style="1" hidden="1" customWidth="1"/>
    <col min="8437" max="8437" width="6.85546875" style="1" customWidth="1"/>
    <col min="8438" max="8438" width="9.28515625" style="1" customWidth="1"/>
    <col min="8439" max="8439" width="8.85546875" style="1" customWidth="1"/>
    <col min="8440" max="8442" width="0" style="1" hidden="1" customWidth="1"/>
    <col min="8443" max="8443" width="7.42578125" style="1" customWidth="1"/>
    <col min="8444" max="8444" width="9.140625" style="1"/>
    <col min="8445" max="8445" width="8" style="1" customWidth="1"/>
    <col min="8446" max="8448" width="0" style="1" hidden="1" customWidth="1"/>
    <col min="8449" max="8449" width="11.85546875" style="1" customWidth="1"/>
    <col min="8450" max="8450" width="46.140625" style="1" customWidth="1"/>
    <col min="8451" max="8459" width="0" style="1" hidden="1" customWidth="1"/>
    <col min="8460" max="8689" width="9.140625" style="1"/>
    <col min="8690" max="8690" width="23.140625" style="1" customWidth="1"/>
    <col min="8691" max="8692" width="0" style="1" hidden="1" customWidth="1"/>
    <col min="8693" max="8693" width="6.85546875" style="1" customWidth="1"/>
    <col min="8694" max="8694" width="9.28515625" style="1" customWidth="1"/>
    <col min="8695" max="8695" width="8.85546875" style="1" customWidth="1"/>
    <col min="8696" max="8698" width="0" style="1" hidden="1" customWidth="1"/>
    <col min="8699" max="8699" width="7.42578125" style="1" customWidth="1"/>
    <col min="8700" max="8700" width="9.140625" style="1"/>
    <col min="8701" max="8701" width="8" style="1" customWidth="1"/>
    <col min="8702" max="8704" width="0" style="1" hidden="1" customWidth="1"/>
    <col min="8705" max="8705" width="11.85546875" style="1" customWidth="1"/>
    <col min="8706" max="8706" width="46.140625" style="1" customWidth="1"/>
    <col min="8707" max="8715" width="0" style="1" hidden="1" customWidth="1"/>
    <col min="8716" max="8945" width="9.140625" style="1"/>
    <col min="8946" max="8946" width="23.140625" style="1" customWidth="1"/>
    <col min="8947" max="8948" width="0" style="1" hidden="1" customWidth="1"/>
    <col min="8949" max="8949" width="6.85546875" style="1" customWidth="1"/>
    <col min="8950" max="8950" width="9.28515625" style="1" customWidth="1"/>
    <col min="8951" max="8951" width="8.85546875" style="1" customWidth="1"/>
    <col min="8952" max="8954" width="0" style="1" hidden="1" customWidth="1"/>
    <col min="8955" max="8955" width="7.42578125" style="1" customWidth="1"/>
    <col min="8956" max="8956" width="9.140625" style="1"/>
    <col min="8957" max="8957" width="8" style="1" customWidth="1"/>
    <col min="8958" max="8960" width="0" style="1" hidden="1" customWidth="1"/>
    <col min="8961" max="8961" width="11.85546875" style="1" customWidth="1"/>
    <col min="8962" max="8962" width="46.140625" style="1" customWidth="1"/>
    <col min="8963" max="8971" width="0" style="1" hidden="1" customWidth="1"/>
    <col min="8972" max="9201" width="9.140625" style="1"/>
    <col min="9202" max="9202" width="23.140625" style="1" customWidth="1"/>
    <col min="9203" max="9204" width="0" style="1" hidden="1" customWidth="1"/>
    <col min="9205" max="9205" width="6.85546875" style="1" customWidth="1"/>
    <col min="9206" max="9206" width="9.28515625" style="1" customWidth="1"/>
    <col min="9207" max="9207" width="8.85546875" style="1" customWidth="1"/>
    <col min="9208" max="9210" width="0" style="1" hidden="1" customWidth="1"/>
    <col min="9211" max="9211" width="7.42578125" style="1" customWidth="1"/>
    <col min="9212" max="9212" width="9.140625" style="1"/>
    <col min="9213" max="9213" width="8" style="1" customWidth="1"/>
    <col min="9214" max="9216" width="0" style="1" hidden="1" customWidth="1"/>
    <col min="9217" max="9217" width="11.85546875" style="1" customWidth="1"/>
    <col min="9218" max="9218" width="46.140625" style="1" customWidth="1"/>
    <col min="9219" max="9227" width="0" style="1" hidden="1" customWidth="1"/>
    <col min="9228" max="9457" width="9.140625" style="1"/>
    <col min="9458" max="9458" width="23.140625" style="1" customWidth="1"/>
    <col min="9459" max="9460" width="0" style="1" hidden="1" customWidth="1"/>
    <col min="9461" max="9461" width="6.85546875" style="1" customWidth="1"/>
    <col min="9462" max="9462" width="9.28515625" style="1" customWidth="1"/>
    <col min="9463" max="9463" width="8.85546875" style="1" customWidth="1"/>
    <col min="9464" max="9466" width="0" style="1" hidden="1" customWidth="1"/>
    <col min="9467" max="9467" width="7.42578125" style="1" customWidth="1"/>
    <col min="9468" max="9468" width="9.140625" style="1"/>
    <col min="9469" max="9469" width="8" style="1" customWidth="1"/>
    <col min="9470" max="9472" width="0" style="1" hidden="1" customWidth="1"/>
    <col min="9473" max="9473" width="11.85546875" style="1" customWidth="1"/>
    <col min="9474" max="9474" width="46.140625" style="1" customWidth="1"/>
    <col min="9475" max="9483" width="0" style="1" hidden="1" customWidth="1"/>
    <col min="9484" max="9713" width="9.140625" style="1"/>
    <col min="9714" max="9714" width="23.140625" style="1" customWidth="1"/>
    <col min="9715" max="9716" width="0" style="1" hidden="1" customWidth="1"/>
    <col min="9717" max="9717" width="6.85546875" style="1" customWidth="1"/>
    <col min="9718" max="9718" width="9.28515625" style="1" customWidth="1"/>
    <col min="9719" max="9719" width="8.85546875" style="1" customWidth="1"/>
    <col min="9720" max="9722" width="0" style="1" hidden="1" customWidth="1"/>
    <col min="9723" max="9723" width="7.42578125" style="1" customWidth="1"/>
    <col min="9724" max="9724" width="9.140625" style="1"/>
    <col min="9725" max="9725" width="8" style="1" customWidth="1"/>
    <col min="9726" max="9728" width="0" style="1" hidden="1" customWidth="1"/>
    <col min="9729" max="9729" width="11.85546875" style="1" customWidth="1"/>
    <col min="9730" max="9730" width="46.140625" style="1" customWidth="1"/>
    <col min="9731" max="9739" width="0" style="1" hidden="1" customWidth="1"/>
    <col min="9740" max="9969" width="9.140625" style="1"/>
    <col min="9970" max="9970" width="23.140625" style="1" customWidth="1"/>
    <col min="9971" max="9972" width="0" style="1" hidden="1" customWidth="1"/>
    <col min="9973" max="9973" width="6.85546875" style="1" customWidth="1"/>
    <col min="9974" max="9974" width="9.28515625" style="1" customWidth="1"/>
    <col min="9975" max="9975" width="8.85546875" style="1" customWidth="1"/>
    <col min="9976" max="9978" width="0" style="1" hidden="1" customWidth="1"/>
    <col min="9979" max="9979" width="7.42578125" style="1" customWidth="1"/>
    <col min="9980" max="9980" width="9.140625" style="1"/>
    <col min="9981" max="9981" width="8" style="1" customWidth="1"/>
    <col min="9982" max="9984" width="0" style="1" hidden="1" customWidth="1"/>
    <col min="9985" max="9985" width="11.85546875" style="1" customWidth="1"/>
    <col min="9986" max="9986" width="46.140625" style="1" customWidth="1"/>
    <col min="9987" max="9995" width="0" style="1" hidden="1" customWidth="1"/>
    <col min="9996" max="10225" width="9.140625" style="1"/>
    <col min="10226" max="10226" width="23.140625" style="1" customWidth="1"/>
    <col min="10227" max="10228" width="0" style="1" hidden="1" customWidth="1"/>
    <col min="10229" max="10229" width="6.85546875" style="1" customWidth="1"/>
    <col min="10230" max="10230" width="9.28515625" style="1" customWidth="1"/>
    <col min="10231" max="10231" width="8.85546875" style="1" customWidth="1"/>
    <col min="10232" max="10234" width="0" style="1" hidden="1" customWidth="1"/>
    <col min="10235" max="10235" width="7.42578125" style="1" customWidth="1"/>
    <col min="10236" max="10236" width="9.140625" style="1"/>
    <col min="10237" max="10237" width="8" style="1" customWidth="1"/>
    <col min="10238" max="10240" width="0" style="1" hidden="1" customWidth="1"/>
    <col min="10241" max="10241" width="11.85546875" style="1" customWidth="1"/>
    <col min="10242" max="10242" width="46.140625" style="1" customWidth="1"/>
    <col min="10243" max="10251" width="0" style="1" hidden="1" customWidth="1"/>
    <col min="10252" max="10481" width="9.140625" style="1"/>
    <col min="10482" max="10482" width="23.140625" style="1" customWidth="1"/>
    <col min="10483" max="10484" width="0" style="1" hidden="1" customWidth="1"/>
    <col min="10485" max="10485" width="6.85546875" style="1" customWidth="1"/>
    <col min="10486" max="10486" width="9.28515625" style="1" customWidth="1"/>
    <col min="10487" max="10487" width="8.85546875" style="1" customWidth="1"/>
    <col min="10488" max="10490" width="0" style="1" hidden="1" customWidth="1"/>
    <col min="10491" max="10491" width="7.42578125" style="1" customWidth="1"/>
    <col min="10492" max="10492" width="9.140625" style="1"/>
    <col min="10493" max="10493" width="8" style="1" customWidth="1"/>
    <col min="10494" max="10496" width="0" style="1" hidden="1" customWidth="1"/>
    <col min="10497" max="10497" width="11.85546875" style="1" customWidth="1"/>
    <col min="10498" max="10498" width="46.140625" style="1" customWidth="1"/>
    <col min="10499" max="10507" width="0" style="1" hidden="1" customWidth="1"/>
    <col min="10508" max="10737" width="9.140625" style="1"/>
    <col min="10738" max="10738" width="23.140625" style="1" customWidth="1"/>
    <col min="10739" max="10740" width="0" style="1" hidden="1" customWidth="1"/>
    <col min="10741" max="10741" width="6.85546875" style="1" customWidth="1"/>
    <col min="10742" max="10742" width="9.28515625" style="1" customWidth="1"/>
    <col min="10743" max="10743" width="8.85546875" style="1" customWidth="1"/>
    <col min="10744" max="10746" width="0" style="1" hidden="1" customWidth="1"/>
    <col min="10747" max="10747" width="7.42578125" style="1" customWidth="1"/>
    <col min="10748" max="10748" width="9.140625" style="1"/>
    <col min="10749" max="10749" width="8" style="1" customWidth="1"/>
    <col min="10750" max="10752" width="0" style="1" hidden="1" customWidth="1"/>
    <col min="10753" max="10753" width="11.85546875" style="1" customWidth="1"/>
    <col min="10754" max="10754" width="46.140625" style="1" customWidth="1"/>
    <col min="10755" max="10763" width="0" style="1" hidden="1" customWidth="1"/>
    <col min="10764" max="10993" width="9.140625" style="1"/>
    <col min="10994" max="10994" width="23.140625" style="1" customWidth="1"/>
    <col min="10995" max="10996" width="0" style="1" hidden="1" customWidth="1"/>
    <col min="10997" max="10997" width="6.85546875" style="1" customWidth="1"/>
    <col min="10998" max="10998" width="9.28515625" style="1" customWidth="1"/>
    <col min="10999" max="10999" width="8.85546875" style="1" customWidth="1"/>
    <col min="11000" max="11002" width="0" style="1" hidden="1" customWidth="1"/>
    <col min="11003" max="11003" width="7.42578125" style="1" customWidth="1"/>
    <col min="11004" max="11004" width="9.140625" style="1"/>
    <col min="11005" max="11005" width="8" style="1" customWidth="1"/>
    <col min="11006" max="11008" width="0" style="1" hidden="1" customWidth="1"/>
    <col min="11009" max="11009" width="11.85546875" style="1" customWidth="1"/>
    <col min="11010" max="11010" width="46.140625" style="1" customWidth="1"/>
    <col min="11011" max="11019" width="0" style="1" hidden="1" customWidth="1"/>
    <col min="11020" max="11249" width="9.140625" style="1"/>
    <col min="11250" max="11250" width="23.140625" style="1" customWidth="1"/>
    <col min="11251" max="11252" width="0" style="1" hidden="1" customWidth="1"/>
    <col min="11253" max="11253" width="6.85546875" style="1" customWidth="1"/>
    <col min="11254" max="11254" width="9.28515625" style="1" customWidth="1"/>
    <col min="11255" max="11255" width="8.85546875" style="1" customWidth="1"/>
    <col min="11256" max="11258" width="0" style="1" hidden="1" customWidth="1"/>
    <col min="11259" max="11259" width="7.42578125" style="1" customWidth="1"/>
    <col min="11260" max="11260" width="9.140625" style="1"/>
    <col min="11261" max="11261" width="8" style="1" customWidth="1"/>
    <col min="11262" max="11264" width="0" style="1" hidden="1" customWidth="1"/>
    <col min="11265" max="11265" width="11.85546875" style="1" customWidth="1"/>
    <col min="11266" max="11266" width="46.140625" style="1" customWidth="1"/>
    <col min="11267" max="11275" width="0" style="1" hidden="1" customWidth="1"/>
    <col min="11276" max="11505" width="9.140625" style="1"/>
    <col min="11506" max="11506" width="23.140625" style="1" customWidth="1"/>
    <col min="11507" max="11508" width="0" style="1" hidden="1" customWidth="1"/>
    <col min="11509" max="11509" width="6.85546875" style="1" customWidth="1"/>
    <col min="11510" max="11510" width="9.28515625" style="1" customWidth="1"/>
    <col min="11511" max="11511" width="8.85546875" style="1" customWidth="1"/>
    <col min="11512" max="11514" width="0" style="1" hidden="1" customWidth="1"/>
    <col min="11515" max="11515" width="7.42578125" style="1" customWidth="1"/>
    <col min="11516" max="11516" width="9.140625" style="1"/>
    <col min="11517" max="11517" width="8" style="1" customWidth="1"/>
    <col min="11518" max="11520" width="0" style="1" hidden="1" customWidth="1"/>
    <col min="11521" max="11521" width="11.85546875" style="1" customWidth="1"/>
    <col min="11522" max="11522" width="46.140625" style="1" customWidth="1"/>
    <col min="11523" max="11531" width="0" style="1" hidden="1" customWidth="1"/>
    <col min="11532" max="11761" width="9.140625" style="1"/>
    <col min="11762" max="11762" width="23.140625" style="1" customWidth="1"/>
    <col min="11763" max="11764" width="0" style="1" hidden="1" customWidth="1"/>
    <col min="11765" max="11765" width="6.85546875" style="1" customWidth="1"/>
    <col min="11766" max="11766" width="9.28515625" style="1" customWidth="1"/>
    <col min="11767" max="11767" width="8.85546875" style="1" customWidth="1"/>
    <col min="11768" max="11770" width="0" style="1" hidden="1" customWidth="1"/>
    <col min="11771" max="11771" width="7.42578125" style="1" customWidth="1"/>
    <col min="11772" max="11772" width="9.140625" style="1"/>
    <col min="11773" max="11773" width="8" style="1" customWidth="1"/>
    <col min="11774" max="11776" width="0" style="1" hidden="1" customWidth="1"/>
    <col min="11777" max="11777" width="11.85546875" style="1" customWidth="1"/>
    <col min="11778" max="11778" width="46.140625" style="1" customWidth="1"/>
    <col min="11779" max="11787" width="0" style="1" hidden="1" customWidth="1"/>
    <col min="11788" max="12017" width="9.140625" style="1"/>
    <col min="12018" max="12018" width="23.140625" style="1" customWidth="1"/>
    <col min="12019" max="12020" width="0" style="1" hidden="1" customWidth="1"/>
    <col min="12021" max="12021" width="6.85546875" style="1" customWidth="1"/>
    <col min="12022" max="12022" width="9.28515625" style="1" customWidth="1"/>
    <col min="12023" max="12023" width="8.85546875" style="1" customWidth="1"/>
    <col min="12024" max="12026" width="0" style="1" hidden="1" customWidth="1"/>
    <col min="12027" max="12027" width="7.42578125" style="1" customWidth="1"/>
    <col min="12028" max="12028" width="9.140625" style="1"/>
    <col min="12029" max="12029" width="8" style="1" customWidth="1"/>
    <col min="12030" max="12032" width="0" style="1" hidden="1" customWidth="1"/>
    <col min="12033" max="12033" width="11.85546875" style="1" customWidth="1"/>
    <col min="12034" max="12034" width="46.140625" style="1" customWidth="1"/>
    <col min="12035" max="12043" width="0" style="1" hidden="1" customWidth="1"/>
    <col min="12044" max="12273" width="9.140625" style="1"/>
    <col min="12274" max="12274" width="23.140625" style="1" customWidth="1"/>
    <col min="12275" max="12276" width="0" style="1" hidden="1" customWidth="1"/>
    <col min="12277" max="12277" width="6.85546875" style="1" customWidth="1"/>
    <col min="12278" max="12278" width="9.28515625" style="1" customWidth="1"/>
    <col min="12279" max="12279" width="8.85546875" style="1" customWidth="1"/>
    <col min="12280" max="12282" width="0" style="1" hidden="1" customWidth="1"/>
    <col min="12283" max="12283" width="7.42578125" style="1" customWidth="1"/>
    <col min="12284" max="12284" width="9.140625" style="1"/>
    <col min="12285" max="12285" width="8" style="1" customWidth="1"/>
    <col min="12286" max="12288" width="0" style="1" hidden="1" customWidth="1"/>
    <col min="12289" max="12289" width="11.85546875" style="1" customWidth="1"/>
    <col min="12290" max="12290" width="46.140625" style="1" customWidth="1"/>
    <col min="12291" max="12299" width="0" style="1" hidden="1" customWidth="1"/>
    <col min="12300" max="12529" width="9.140625" style="1"/>
    <col min="12530" max="12530" width="23.140625" style="1" customWidth="1"/>
    <col min="12531" max="12532" width="0" style="1" hidden="1" customWidth="1"/>
    <col min="12533" max="12533" width="6.85546875" style="1" customWidth="1"/>
    <col min="12534" max="12534" width="9.28515625" style="1" customWidth="1"/>
    <col min="12535" max="12535" width="8.85546875" style="1" customWidth="1"/>
    <col min="12536" max="12538" width="0" style="1" hidden="1" customWidth="1"/>
    <col min="12539" max="12539" width="7.42578125" style="1" customWidth="1"/>
    <col min="12540" max="12540" width="9.140625" style="1"/>
    <col min="12541" max="12541" width="8" style="1" customWidth="1"/>
    <col min="12542" max="12544" width="0" style="1" hidden="1" customWidth="1"/>
    <col min="12545" max="12545" width="11.85546875" style="1" customWidth="1"/>
    <col min="12546" max="12546" width="46.140625" style="1" customWidth="1"/>
    <col min="12547" max="12555" width="0" style="1" hidden="1" customWidth="1"/>
    <col min="12556" max="12785" width="9.140625" style="1"/>
    <col min="12786" max="12786" width="23.140625" style="1" customWidth="1"/>
    <col min="12787" max="12788" width="0" style="1" hidden="1" customWidth="1"/>
    <col min="12789" max="12789" width="6.85546875" style="1" customWidth="1"/>
    <col min="12790" max="12790" width="9.28515625" style="1" customWidth="1"/>
    <col min="12791" max="12791" width="8.85546875" style="1" customWidth="1"/>
    <col min="12792" max="12794" width="0" style="1" hidden="1" customWidth="1"/>
    <col min="12795" max="12795" width="7.42578125" style="1" customWidth="1"/>
    <col min="12796" max="12796" width="9.140625" style="1"/>
    <col min="12797" max="12797" width="8" style="1" customWidth="1"/>
    <col min="12798" max="12800" width="0" style="1" hidden="1" customWidth="1"/>
    <col min="12801" max="12801" width="11.85546875" style="1" customWidth="1"/>
    <col min="12802" max="12802" width="46.140625" style="1" customWidth="1"/>
    <col min="12803" max="12811" width="0" style="1" hidden="1" customWidth="1"/>
    <col min="12812" max="13041" width="9.140625" style="1"/>
    <col min="13042" max="13042" width="23.140625" style="1" customWidth="1"/>
    <col min="13043" max="13044" width="0" style="1" hidden="1" customWidth="1"/>
    <col min="13045" max="13045" width="6.85546875" style="1" customWidth="1"/>
    <col min="13046" max="13046" width="9.28515625" style="1" customWidth="1"/>
    <col min="13047" max="13047" width="8.85546875" style="1" customWidth="1"/>
    <col min="13048" max="13050" width="0" style="1" hidden="1" customWidth="1"/>
    <col min="13051" max="13051" width="7.42578125" style="1" customWidth="1"/>
    <col min="13052" max="13052" width="9.140625" style="1"/>
    <col min="13053" max="13053" width="8" style="1" customWidth="1"/>
    <col min="13054" max="13056" width="0" style="1" hidden="1" customWidth="1"/>
    <col min="13057" max="13057" width="11.85546875" style="1" customWidth="1"/>
    <col min="13058" max="13058" width="46.140625" style="1" customWidth="1"/>
    <col min="13059" max="13067" width="0" style="1" hidden="1" customWidth="1"/>
    <col min="13068" max="13297" width="9.140625" style="1"/>
    <col min="13298" max="13298" width="23.140625" style="1" customWidth="1"/>
    <col min="13299" max="13300" width="0" style="1" hidden="1" customWidth="1"/>
    <col min="13301" max="13301" width="6.85546875" style="1" customWidth="1"/>
    <col min="13302" max="13302" width="9.28515625" style="1" customWidth="1"/>
    <col min="13303" max="13303" width="8.85546875" style="1" customWidth="1"/>
    <col min="13304" max="13306" width="0" style="1" hidden="1" customWidth="1"/>
    <col min="13307" max="13307" width="7.42578125" style="1" customWidth="1"/>
    <col min="13308" max="13308" width="9.140625" style="1"/>
    <col min="13309" max="13309" width="8" style="1" customWidth="1"/>
    <col min="13310" max="13312" width="0" style="1" hidden="1" customWidth="1"/>
    <col min="13313" max="13313" width="11.85546875" style="1" customWidth="1"/>
    <col min="13314" max="13314" width="46.140625" style="1" customWidth="1"/>
    <col min="13315" max="13323" width="0" style="1" hidden="1" customWidth="1"/>
    <col min="13324" max="13553" width="9.140625" style="1"/>
    <col min="13554" max="13554" width="23.140625" style="1" customWidth="1"/>
    <col min="13555" max="13556" width="0" style="1" hidden="1" customWidth="1"/>
    <col min="13557" max="13557" width="6.85546875" style="1" customWidth="1"/>
    <col min="13558" max="13558" width="9.28515625" style="1" customWidth="1"/>
    <col min="13559" max="13559" width="8.85546875" style="1" customWidth="1"/>
    <col min="13560" max="13562" width="0" style="1" hidden="1" customWidth="1"/>
    <col min="13563" max="13563" width="7.42578125" style="1" customWidth="1"/>
    <col min="13564" max="13564" width="9.140625" style="1"/>
    <col min="13565" max="13565" width="8" style="1" customWidth="1"/>
    <col min="13566" max="13568" width="0" style="1" hidden="1" customWidth="1"/>
    <col min="13569" max="13569" width="11.85546875" style="1" customWidth="1"/>
    <col min="13570" max="13570" width="46.140625" style="1" customWidth="1"/>
    <col min="13571" max="13579" width="0" style="1" hidden="1" customWidth="1"/>
    <col min="13580" max="13809" width="9.140625" style="1"/>
    <col min="13810" max="13810" width="23.140625" style="1" customWidth="1"/>
    <col min="13811" max="13812" width="0" style="1" hidden="1" customWidth="1"/>
    <col min="13813" max="13813" width="6.85546875" style="1" customWidth="1"/>
    <col min="13814" max="13814" width="9.28515625" style="1" customWidth="1"/>
    <col min="13815" max="13815" width="8.85546875" style="1" customWidth="1"/>
    <col min="13816" max="13818" width="0" style="1" hidden="1" customWidth="1"/>
    <col min="13819" max="13819" width="7.42578125" style="1" customWidth="1"/>
    <col min="13820" max="13820" width="9.140625" style="1"/>
    <col min="13821" max="13821" width="8" style="1" customWidth="1"/>
    <col min="13822" max="13824" width="0" style="1" hidden="1" customWidth="1"/>
    <col min="13825" max="13825" width="11.85546875" style="1" customWidth="1"/>
    <col min="13826" max="13826" width="46.140625" style="1" customWidth="1"/>
    <col min="13827" max="13835" width="0" style="1" hidden="1" customWidth="1"/>
    <col min="13836" max="14065" width="9.140625" style="1"/>
    <col min="14066" max="14066" width="23.140625" style="1" customWidth="1"/>
    <col min="14067" max="14068" width="0" style="1" hidden="1" customWidth="1"/>
    <col min="14069" max="14069" width="6.85546875" style="1" customWidth="1"/>
    <col min="14070" max="14070" width="9.28515625" style="1" customWidth="1"/>
    <col min="14071" max="14071" width="8.85546875" style="1" customWidth="1"/>
    <col min="14072" max="14074" width="0" style="1" hidden="1" customWidth="1"/>
    <col min="14075" max="14075" width="7.42578125" style="1" customWidth="1"/>
    <col min="14076" max="14076" width="9.140625" style="1"/>
    <col min="14077" max="14077" width="8" style="1" customWidth="1"/>
    <col min="14078" max="14080" width="0" style="1" hidden="1" customWidth="1"/>
    <col min="14081" max="14081" width="11.85546875" style="1" customWidth="1"/>
    <col min="14082" max="14082" width="46.140625" style="1" customWidth="1"/>
    <col min="14083" max="14091" width="0" style="1" hidden="1" customWidth="1"/>
    <col min="14092" max="14321" width="9.140625" style="1"/>
    <col min="14322" max="14322" width="23.140625" style="1" customWidth="1"/>
    <col min="14323" max="14324" width="0" style="1" hidden="1" customWidth="1"/>
    <col min="14325" max="14325" width="6.85546875" style="1" customWidth="1"/>
    <col min="14326" max="14326" width="9.28515625" style="1" customWidth="1"/>
    <col min="14327" max="14327" width="8.85546875" style="1" customWidth="1"/>
    <col min="14328" max="14330" width="0" style="1" hidden="1" customWidth="1"/>
    <col min="14331" max="14331" width="7.42578125" style="1" customWidth="1"/>
    <col min="14332" max="14332" width="9.140625" style="1"/>
    <col min="14333" max="14333" width="8" style="1" customWidth="1"/>
    <col min="14334" max="14336" width="0" style="1" hidden="1" customWidth="1"/>
    <col min="14337" max="14337" width="11.85546875" style="1" customWidth="1"/>
    <col min="14338" max="14338" width="46.140625" style="1" customWidth="1"/>
    <col min="14339" max="14347" width="0" style="1" hidden="1" customWidth="1"/>
    <col min="14348" max="14577" width="9.140625" style="1"/>
    <col min="14578" max="14578" width="23.140625" style="1" customWidth="1"/>
    <col min="14579" max="14580" width="0" style="1" hidden="1" customWidth="1"/>
    <col min="14581" max="14581" width="6.85546875" style="1" customWidth="1"/>
    <col min="14582" max="14582" width="9.28515625" style="1" customWidth="1"/>
    <col min="14583" max="14583" width="8.85546875" style="1" customWidth="1"/>
    <col min="14584" max="14586" width="0" style="1" hidden="1" customWidth="1"/>
    <col min="14587" max="14587" width="7.42578125" style="1" customWidth="1"/>
    <col min="14588" max="14588" width="9.140625" style="1"/>
    <col min="14589" max="14589" width="8" style="1" customWidth="1"/>
    <col min="14590" max="14592" width="0" style="1" hidden="1" customWidth="1"/>
    <col min="14593" max="14593" width="11.85546875" style="1" customWidth="1"/>
    <col min="14594" max="14594" width="46.140625" style="1" customWidth="1"/>
    <col min="14595" max="14603" width="0" style="1" hidden="1" customWidth="1"/>
    <col min="14604" max="14833" width="9.140625" style="1"/>
    <col min="14834" max="14834" width="23.140625" style="1" customWidth="1"/>
    <col min="14835" max="14836" width="0" style="1" hidden="1" customWidth="1"/>
    <col min="14837" max="14837" width="6.85546875" style="1" customWidth="1"/>
    <col min="14838" max="14838" width="9.28515625" style="1" customWidth="1"/>
    <col min="14839" max="14839" width="8.85546875" style="1" customWidth="1"/>
    <col min="14840" max="14842" width="0" style="1" hidden="1" customWidth="1"/>
    <col min="14843" max="14843" width="7.42578125" style="1" customWidth="1"/>
    <col min="14844" max="14844" width="9.140625" style="1"/>
    <col min="14845" max="14845" width="8" style="1" customWidth="1"/>
    <col min="14846" max="14848" width="0" style="1" hidden="1" customWidth="1"/>
    <col min="14849" max="14849" width="11.85546875" style="1" customWidth="1"/>
    <col min="14850" max="14850" width="46.140625" style="1" customWidth="1"/>
    <col min="14851" max="14859" width="0" style="1" hidden="1" customWidth="1"/>
    <col min="14860" max="15089" width="9.140625" style="1"/>
    <col min="15090" max="15090" width="23.140625" style="1" customWidth="1"/>
    <col min="15091" max="15092" width="0" style="1" hidden="1" customWidth="1"/>
    <col min="15093" max="15093" width="6.85546875" style="1" customWidth="1"/>
    <col min="15094" max="15094" width="9.28515625" style="1" customWidth="1"/>
    <col min="15095" max="15095" width="8.85546875" style="1" customWidth="1"/>
    <col min="15096" max="15098" width="0" style="1" hidden="1" customWidth="1"/>
    <col min="15099" max="15099" width="7.42578125" style="1" customWidth="1"/>
    <col min="15100" max="15100" width="9.140625" style="1"/>
    <col min="15101" max="15101" width="8" style="1" customWidth="1"/>
    <col min="15102" max="15104" width="0" style="1" hidden="1" customWidth="1"/>
    <col min="15105" max="15105" width="11.85546875" style="1" customWidth="1"/>
    <col min="15106" max="15106" width="46.140625" style="1" customWidth="1"/>
    <col min="15107" max="15115" width="0" style="1" hidden="1" customWidth="1"/>
    <col min="15116" max="15345" width="9.140625" style="1"/>
    <col min="15346" max="15346" width="23.140625" style="1" customWidth="1"/>
    <col min="15347" max="15348" width="0" style="1" hidden="1" customWidth="1"/>
    <col min="15349" max="15349" width="6.85546875" style="1" customWidth="1"/>
    <col min="15350" max="15350" width="9.28515625" style="1" customWidth="1"/>
    <col min="15351" max="15351" width="8.85546875" style="1" customWidth="1"/>
    <col min="15352" max="15354" width="0" style="1" hidden="1" customWidth="1"/>
    <col min="15355" max="15355" width="7.42578125" style="1" customWidth="1"/>
    <col min="15356" max="15356" width="9.140625" style="1"/>
    <col min="15357" max="15357" width="8" style="1" customWidth="1"/>
    <col min="15358" max="15360" width="0" style="1" hidden="1" customWidth="1"/>
    <col min="15361" max="15361" width="11.85546875" style="1" customWidth="1"/>
    <col min="15362" max="15362" width="46.140625" style="1" customWidth="1"/>
    <col min="15363" max="15371" width="0" style="1" hidden="1" customWidth="1"/>
    <col min="15372" max="15601" width="9.140625" style="1"/>
    <col min="15602" max="15602" width="23.140625" style="1" customWidth="1"/>
    <col min="15603" max="15604" width="0" style="1" hidden="1" customWidth="1"/>
    <col min="15605" max="15605" width="6.85546875" style="1" customWidth="1"/>
    <col min="15606" max="15606" width="9.28515625" style="1" customWidth="1"/>
    <col min="15607" max="15607" width="8.85546875" style="1" customWidth="1"/>
    <col min="15608" max="15610" width="0" style="1" hidden="1" customWidth="1"/>
    <col min="15611" max="15611" width="7.42578125" style="1" customWidth="1"/>
    <col min="15612" max="15612" width="9.140625" style="1"/>
    <col min="15613" max="15613" width="8" style="1" customWidth="1"/>
    <col min="15614" max="15616" width="0" style="1" hidden="1" customWidth="1"/>
    <col min="15617" max="15617" width="11.85546875" style="1" customWidth="1"/>
    <col min="15618" max="15618" width="46.140625" style="1" customWidth="1"/>
    <col min="15619" max="15627" width="0" style="1" hidden="1" customWidth="1"/>
    <col min="15628" max="15857" width="9.140625" style="1"/>
    <col min="15858" max="15858" width="23.140625" style="1" customWidth="1"/>
    <col min="15859" max="15860" width="0" style="1" hidden="1" customWidth="1"/>
    <col min="15861" max="15861" width="6.85546875" style="1" customWidth="1"/>
    <col min="15862" max="15862" width="9.28515625" style="1" customWidth="1"/>
    <col min="15863" max="15863" width="8.85546875" style="1" customWidth="1"/>
    <col min="15864" max="15866" width="0" style="1" hidden="1" customWidth="1"/>
    <col min="15867" max="15867" width="7.42578125" style="1" customWidth="1"/>
    <col min="15868" max="15868" width="9.140625" style="1"/>
    <col min="15869" max="15869" width="8" style="1" customWidth="1"/>
    <col min="15870" max="15872" width="0" style="1" hidden="1" customWidth="1"/>
    <col min="15873" max="15873" width="11.85546875" style="1" customWidth="1"/>
    <col min="15874" max="15874" width="46.140625" style="1" customWidth="1"/>
    <col min="15875" max="15883" width="0" style="1" hidden="1" customWidth="1"/>
    <col min="15884" max="16113" width="9.140625" style="1"/>
    <col min="16114" max="16114" width="23.140625" style="1" customWidth="1"/>
    <col min="16115" max="16116" width="0" style="1" hidden="1" customWidth="1"/>
    <col min="16117" max="16117" width="6.85546875" style="1" customWidth="1"/>
    <col min="16118" max="16118" width="9.28515625" style="1" customWidth="1"/>
    <col min="16119" max="16119" width="8.85546875" style="1" customWidth="1"/>
    <col min="16120" max="16122" width="0" style="1" hidden="1" customWidth="1"/>
    <col min="16123" max="16123" width="7.42578125" style="1" customWidth="1"/>
    <col min="16124" max="16124" width="9.140625" style="1"/>
    <col min="16125" max="16125" width="8" style="1" customWidth="1"/>
    <col min="16126" max="16128" width="0" style="1" hidden="1" customWidth="1"/>
    <col min="16129" max="16129" width="11.85546875" style="1" customWidth="1"/>
    <col min="16130" max="16130" width="46.140625" style="1" customWidth="1"/>
    <col min="16131" max="16139" width="0" style="1" hidden="1" customWidth="1"/>
    <col min="16140" max="16384" width="9.140625" style="1"/>
  </cols>
  <sheetData>
    <row r="1" spans="1:13" s="678" customFormat="1" ht="44.25" customHeight="1" thickBot="1" x14ac:dyDescent="0.3">
      <c r="A1" s="1531" t="s">
        <v>791</v>
      </c>
      <c r="B1" s="1532"/>
      <c r="C1" s="1532"/>
      <c r="D1" s="1532"/>
      <c r="E1" s="1532"/>
      <c r="F1" s="1532"/>
      <c r="G1" s="1532"/>
      <c r="H1" s="1532"/>
      <c r="I1" s="1532"/>
      <c r="J1" s="1532"/>
      <c r="K1" s="1532"/>
      <c r="L1" s="1533"/>
    </row>
    <row r="2" spans="1:13" s="681" customFormat="1" ht="30" customHeight="1" thickBot="1" x14ac:dyDescent="0.3">
      <c r="A2" s="1231" t="s">
        <v>1</v>
      </c>
      <c r="B2" s="1231" t="s">
        <v>615</v>
      </c>
      <c r="C2" s="1231" t="s">
        <v>124</v>
      </c>
      <c r="D2" s="1231" t="s">
        <v>155</v>
      </c>
      <c r="E2" s="1327" t="s">
        <v>792</v>
      </c>
      <c r="F2" s="1534" t="s">
        <v>109</v>
      </c>
      <c r="G2" s="1535"/>
      <c r="H2" s="1536" t="s">
        <v>7</v>
      </c>
      <c r="I2" s="1537"/>
      <c r="J2" s="1231" t="s">
        <v>8</v>
      </c>
      <c r="K2" s="1231" t="s">
        <v>9</v>
      </c>
      <c r="L2" s="1327" t="s">
        <v>10</v>
      </c>
      <c r="M2" s="680"/>
    </row>
    <row r="3" spans="1:13" s="681" customFormat="1" ht="34.5" customHeight="1" thickBot="1" x14ac:dyDescent="0.3">
      <c r="A3" s="1232"/>
      <c r="B3" s="1232" t="s">
        <v>615</v>
      </c>
      <c r="C3" s="1232" t="s">
        <v>124</v>
      </c>
      <c r="D3" s="1232" t="s">
        <v>155</v>
      </c>
      <c r="E3" s="1328" t="s">
        <v>792</v>
      </c>
      <c r="F3" s="1093" t="s">
        <v>12</v>
      </c>
      <c r="G3" s="1093" t="s">
        <v>13</v>
      </c>
      <c r="H3" s="988" t="s">
        <v>12</v>
      </c>
      <c r="I3" s="988" t="s">
        <v>13</v>
      </c>
      <c r="J3" s="1232" t="s">
        <v>8</v>
      </c>
      <c r="K3" s="1232" t="s">
        <v>9</v>
      </c>
      <c r="L3" s="1328" t="s">
        <v>10</v>
      </c>
      <c r="M3" s="680"/>
    </row>
    <row r="4" spans="1:13" s="681" customFormat="1" ht="27.75" customHeight="1" x14ac:dyDescent="0.25">
      <c r="A4" s="683">
        <v>1</v>
      </c>
      <c r="B4" s="684" t="s">
        <v>793</v>
      </c>
      <c r="C4" s="685" t="s">
        <v>16</v>
      </c>
      <c r="D4" s="685" t="s">
        <v>794</v>
      </c>
      <c r="E4" s="686" t="s">
        <v>795</v>
      </c>
      <c r="F4" s="1527">
        <v>399.6</v>
      </c>
      <c r="G4" s="1528"/>
      <c r="H4" s="1529">
        <v>205.20000000000002</v>
      </c>
      <c r="I4" s="1530">
        <v>205.20000000000002</v>
      </c>
      <c r="J4" s="687" t="s">
        <v>34</v>
      </c>
      <c r="K4" s="688"/>
      <c r="L4" s="689">
        <v>46071</v>
      </c>
      <c r="M4" s="680"/>
    </row>
    <row r="5" spans="1:13" ht="24.95" customHeight="1" x14ac:dyDescent="0.3">
      <c r="A5" s="690">
        <v>2</v>
      </c>
      <c r="B5" s="684" t="s">
        <v>793</v>
      </c>
      <c r="C5" s="685">
        <v>1</v>
      </c>
      <c r="D5" s="685" t="s">
        <v>794</v>
      </c>
      <c r="E5" s="686" t="s">
        <v>795</v>
      </c>
      <c r="F5" s="691">
        <v>399.6</v>
      </c>
      <c r="G5" s="936">
        <f>399.6+160</f>
        <v>559.6</v>
      </c>
      <c r="H5" s="505">
        <v>205.2</v>
      </c>
      <c r="I5" s="507">
        <f>205.2+160</f>
        <v>365.2</v>
      </c>
      <c r="J5" s="687" t="s">
        <v>34</v>
      </c>
      <c r="K5" s="688"/>
      <c r="L5" s="689">
        <v>46071</v>
      </c>
      <c r="M5" s="692"/>
    </row>
    <row r="6" spans="1:13" ht="36" x14ac:dyDescent="0.3">
      <c r="A6" s="690">
        <v>3</v>
      </c>
      <c r="B6" s="693" t="s">
        <v>796</v>
      </c>
      <c r="C6" s="694">
        <v>1</v>
      </c>
      <c r="D6" s="694"/>
      <c r="E6" s="695" t="s">
        <v>797</v>
      </c>
      <c r="F6" s="653"/>
      <c r="G6" s="937">
        <v>990</v>
      </c>
      <c r="H6" s="696"/>
      <c r="I6" s="696"/>
      <c r="J6" s="687" t="s">
        <v>34</v>
      </c>
      <c r="K6" s="697" t="s">
        <v>798</v>
      </c>
      <c r="L6" s="702">
        <v>45972</v>
      </c>
      <c r="M6" s="692"/>
    </row>
    <row r="7" spans="1:13" ht="24.95" customHeight="1" x14ac:dyDescent="0.3">
      <c r="A7" s="690">
        <v>4</v>
      </c>
      <c r="B7" s="698" t="s">
        <v>799</v>
      </c>
      <c r="C7" s="694" t="s">
        <v>16</v>
      </c>
      <c r="D7" s="694" t="s">
        <v>800</v>
      </c>
      <c r="E7" s="695"/>
      <c r="F7" s="1523">
        <v>270</v>
      </c>
      <c r="G7" s="1524"/>
      <c r="H7" s="1525">
        <v>162</v>
      </c>
      <c r="I7" s="1526">
        <v>162</v>
      </c>
      <c r="J7" s="699" t="s">
        <v>34</v>
      </c>
      <c r="K7" s="700"/>
      <c r="L7" s="701">
        <v>46071</v>
      </c>
      <c r="M7" s="692"/>
    </row>
    <row r="8" spans="1:13" ht="36" x14ac:dyDescent="0.3">
      <c r="A8" s="690">
        <v>5</v>
      </c>
      <c r="B8" s="698" t="s">
        <v>801</v>
      </c>
      <c r="C8" s="694">
        <v>3</v>
      </c>
      <c r="D8" s="694" t="s">
        <v>802</v>
      </c>
      <c r="E8" s="695" t="s">
        <v>803</v>
      </c>
      <c r="F8" s="653">
        <v>2494.8000000000002</v>
      </c>
      <c r="G8" s="937">
        <f>2494.8+3*160</f>
        <v>2974.8</v>
      </c>
      <c r="H8" s="696">
        <v>2030.4</v>
      </c>
      <c r="I8" s="703">
        <f>2030.4+3*160</f>
        <v>2510.4</v>
      </c>
      <c r="J8" s="699" t="s">
        <v>34</v>
      </c>
      <c r="K8" s="700"/>
      <c r="L8" s="702">
        <v>46071</v>
      </c>
      <c r="M8" s="692"/>
    </row>
    <row r="9" spans="1:13" ht="27.75" customHeight="1" x14ac:dyDescent="0.3">
      <c r="A9" s="690">
        <v>6</v>
      </c>
      <c r="B9" s="698" t="s">
        <v>804</v>
      </c>
      <c r="C9" s="694" t="s">
        <v>16</v>
      </c>
      <c r="D9" s="694" t="s">
        <v>805</v>
      </c>
      <c r="E9" s="695" t="s">
        <v>806</v>
      </c>
      <c r="F9" s="1523">
        <v>340.20000000000005</v>
      </c>
      <c r="G9" s="1524"/>
      <c r="H9" s="696"/>
      <c r="I9" s="696"/>
      <c r="J9" s="699" t="s">
        <v>63</v>
      </c>
      <c r="K9" s="697"/>
      <c r="L9" s="702">
        <v>46071</v>
      </c>
      <c r="M9" s="692"/>
    </row>
    <row r="10" spans="1:13" ht="24.95" customHeight="1" x14ac:dyDescent="0.3">
      <c r="A10" s="690">
        <v>7</v>
      </c>
      <c r="B10" s="698" t="s">
        <v>804</v>
      </c>
      <c r="C10" s="694">
        <v>1</v>
      </c>
      <c r="D10" s="694" t="s">
        <v>805</v>
      </c>
      <c r="E10" s="695" t="s">
        <v>806</v>
      </c>
      <c r="F10" s="653">
        <v>453.6</v>
      </c>
      <c r="G10" s="937">
        <f>453.6+160</f>
        <v>613.6</v>
      </c>
      <c r="H10" s="696">
        <v>294.84000000000003</v>
      </c>
      <c r="I10" s="703">
        <f>294.84+160</f>
        <v>454.84</v>
      </c>
      <c r="J10" s="699" t="s">
        <v>63</v>
      </c>
      <c r="K10" s="697"/>
      <c r="L10" s="704">
        <v>46071</v>
      </c>
      <c r="M10" s="692"/>
    </row>
    <row r="11" spans="1:13" ht="58.5" customHeight="1" x14ac:dyDescent="0.3">
      <c r="A11" s="690">
        <v>8</v>
      </c>
      <c r="B11" s="698" t="s">
        <v>807</v>
      </c>
      <c r="C11" s="694" t="s">
        <v>16</v>
      </c>
      <c r="D11" s="694" t="s">
        <v>808</v>
      </c>
      <c r="E11" s="695" t="s">
        <v>806</v>
      </c>
      <c r="F11" s="1523">
        <v>237.60000000000002</v>
      </c>
      <c r="G11" s="1524">
        <v>237.60000000000002</v>
      </c>
      <c r="H11" s="1525">
        <v>237.60000000000002</v>
      </c>
      <c r="I11" s="1526">
        <v>237.60000000000002</v>
      </c>
      <c r="J11" s="699" t="s">
        <v>34</v>
      </c>
      <c r="K11" s="697" t="s">
        <v>809</v>
      </c>
      <c r="L11" s="702">
        <v>46071</v>
      </c>
      <c r="M11" s="692"/>
    </row>
    <row r="12" spans="1:13" ht="65.25" customHeight="1" x14ac:dyDescent="0.3">
      <c r="A12" s="690">
        <v>9</v>
      </c>
      <c r="B12" s="698" t="s">
        <v>807</v>
      </c>
      <c r="C12" s="694">
        <v>1</v>
      </c>
      <c r="D12" s="694" t="s">
        <v>810</v>
      </c>
      <c r="E12" s="695" t="s">
        <v>806</v>
      </c>
      <c r="F12" s="653">
        <v>340.20000000000005</v>
      </c>
      <c r="G12" s="937">
        <f>340.2+160</f>
        <v>500.2</v>
      </c>
      <c r="H12" s="696">
        <v>237.6</v>
      </c>
      <c r="I12" s="703">
        <f>237.6+160</f>
        <v>397.6</v>
      </c>
      <c r="J12" s="699" t="s">
        <v>34</v>
      </c>
      <c r="K12" s="697" t="s">
        <v>809</v>
      </c>
      <c r="L12" s="701">
        <v>46071</v>
      </c>
      <c r="M12" s="692"/>
    </row>
    <row r="13" spans="1:13" ht="24.95" customHeight="1" x14ac:dyDescent="0.3">
      <c r="A13" s="690">
        <v>10</v>
      </c>
      <c r="B13" s="693" t="s">
        <v>811</v>
      </c>
      <c r="C13" s="694">
        <v>1</v>
      </c>
      <c r="D13" s="694" t="s">
        <v>812</v>
      </c>
      <c r="E13" s="695" t="s">
        <v>813</v>
      </c>
      <c r="F13" s="653">
        <v>1020.6</v>
      </c>
      <c r="G13" s="937">
        <f>1020.6+160</f>
        <v>1180.5999999999999</v>
      </c>
      <c r="H13" s="696">
        <v>712.80000000000007</v>
      </c>
      <c r="I13" s="703">
        <f>712.8+160</f>
        <v>872.8</v>
      </c>
      <c r="J13" s="699" t="s">
        <v>34</v>
      </c>
      <c r="K13" s="700"/>
      <c r="L13" s="702">
        <v>46071</v>
      </c>
      <c r="M13" s="692"/>
    </row>
    <row r="14" spans="1:13" s="706" customFormat="1" ht="36" x14ac:dyDescent="0.3">
      <c r="A14" s="690">
        <v>11</v>
      </c>
      <c r="B14" s="698" t="s">
        <v>814</v>
      </c>
      <c r="C14" s="694">
        <v>1</v>
      </c>
      <c r="D14" s="694" t="s">
        <v>815</v>
      </c>
      <c r="E14" s="695" t="s">
        <v>806</v>
      </c>
      <c r="F14" s="653">
        <v>961.2</v>
      </c>
      <c r="G14" s="937">
        <f>961.2+160</f>
        <v>1121.2</v>
      </c>
      <c r="H14" s="696">
        <v>594</v>
      </c>
      <c r="I14" s="703">
        <f>594+160</f>
        <v>754</v>
      </c>
      <c r="J14" s="699" t="s">
        <v>34</v>
      </c>
      <c r="K14" s="697"/>
      <c r="L14" s="704">
        <v>46071</v>
      </c>
      <c r="M14" s="705"/>
    </row>
    <row r="15" spans="1:13" ht="72" x14ac:dyDescent="0.3">
      <c r="A15" s="690">
        <v>12</v>
      </c>
      <c r="B15" s="698" t="s">
        <v>816</v>
      </c>
      <c r="C15" s="695">
        <v>1</v>
      </c>
      <c r="D15" s="695" t="s">
        <v>817</v>
      </c>
      <c r="E15" s="695" t="s">
        <v>818</v>
      </c>
      <c r="F15" s="653">
        <v>793.80000000000007</v>
      </c>
      <c r="G15" s="937">
        <f>793.8+160</f>
        <v>953.8</v>
      </c>
      <c r="H15" s="696">
        <v>658.80000000000007</v>
      </c>
      <c r="I15" s="703">
        <f>658.8+160</f>
        <v>818.8</v>
      </c>
      <c r="J15" s="699" t="s">
        <v>34</v>
      </c>
      <c r="K15" s="700"/>
      <c r="L15" s="702">
        <v>46071</v>
      </c>
      <c r="M15" s="692"/>
    </row>
    <row r="16" spans="1:13" ht="24.95" customHeight="1" x14ac:dyDescent="0.3">
      <c r="A16" s="690">
        <v>13</v>
      </c>
      <c r="B16" s="698" t="s">
        <v>819</v>
      </c>
      <c r="C16" s="695">
        <v>2</v>
      </c>
      <c r="D16" s="695" t="s">
        <v>820</v>
      </c>
      <c r="E16" s="695" t="s">
        <v>821</v>
      </c>
      <c r="F16" s="653">
        <v>1296</v>
      </c>
      <c r="G16" s="937">
        <f>1296+320</f>
        <v>1616</v>
      </c>
      <c r="H16" s="696">
        <v>961.2</v>
      </c>
      <c r="I16" s="703">
        <f>961.2+320</f>
        <v>1281.2</v>
      </c>
      <c r="J16" s="699" t="s">
        <v>34</v>
      </c>
      <c r="K16" s="700"/>
      <c r="L16" s="701">
        <v>46071</v>
      </c>
      <c r="M16" s="692"/>
    </row>
    <row r="17" spans="1:13" ht="24.95" customHeight="1" x14ac:dyDescent="0.3">
      <c r="A17" s="690">
        <v>14</v>
      </c>
      <c r="B17" s="698" t="s">
        <v>819</v>
      </c>
      <c r="C17" s="694">
        <v>1</v>
      </c>
      <c r="D17" s="694" t="s">
        <v>820</v>
      </c>
      <c r="E17" s="695" t="s">
        <v>821</v>
      </c>
      <c r="F17" s="653">
        <v>1134</v>
      </c>
      <c r="G17" s="937">
        <f>1134+160</f>
        <v>1294</v>
      </c>
      <c r="H17" s="696">
        <v>831.6</v>
      </c>
      <c r="I17" s="703">
        <f>831.6+160</f>
        <v>991.6</v>
      </c>
      <c r="J17" s="699" t="s">
        <v>34</v>
      </c>
      <c r="K17" s="700"/>
      <c r="L17" s="702">
        <v>46071</v>
      </c>
      <c r="M17" s="692"/>
    </row>
    <row r="18" spans="1:13" ht="90" customHeight="1" x14ac:dyDescent="0.3">
      <c r="A18" s="690">
        <v>15</v>
      </c>
      <c r="B18" s="707" t="s">
        <v>822</v>
      </c>
      <c r="C18" s="694">
        <v>1</v>
      </c>
      <c r="D18" s="694"/>
      <c r="E18" s="708" t="s">
        <v>823</v>
      </c>
      <c r="F18" s="653">
        <v>2608.2000000000003</v>
      </c>
      <c r="G18" s="937">
        <f>2608.2+160</f>
        <v>2768.2</v>
      </c>
      <c r="H18" s="696">
        <v>1998.0000000000002</v>
      </c>
      <c r="I18" s="703">
        <f>1998+160</f>
        <v>2158</v>
      </c>
      <c r="J18" s="699" t="s">
        <v>34</v>
      </c>
      <c r="K18" s="709"/>
      <c r="L18" s="702">
        <v>46071</v>
      </c>
      <c r="M18" s="692"/>
    </row>
    <row r="19" spans="1:13" ht="60" customHeight="1" x14ac:dyDescent="0.3">
      <c r="A19" s="690">
        <v>16</v>
      </c>
      <c r="B19" s="698" t="s">
        <v>824</v>
      </c>
      <c r="C19" s="694">
        <v>1</v>
      </c>
      <c r="D19" s="694" t="s">
        <v>815</v>
      </c>
      <c r="E19" s="695" t="s">
        <v>806</v>
      </c>
      <c r="F19" s="653">
        <v>1020.6</v>
      </c>
      <c r="G19" s="937">
        <f>1020.6+160</f>
        <v>1180.5999999999999</v>
      </c>
      <c r="H19" s="653">
        <v>831.6</v>
      </c>
      <c r="I19" s="155">
        <f>831.6+160</f>
        <v>991.6</v>
      </c>
      <c r="J19" s="699" t="s">
        <v>34</v>
      </c>
      <c r="K19" s="700"/>
      <c r="L19" s="702">
        <v>46071</v>
      </c>
      <c r="M19" s="692"/>
    </row>
    <row r="20" spans="1:13" ht="24.95" customHeight="1" x14ac:dyDescent="0.3">
      <c r="A20" s="690">
        <v>17</v>
      </c>
      <c r="B20" s="698" t="s">
        <v>825</v>
      </c>
      <c r="C20" s="694" t="s">
        <v>16</v>
      </c>
      <c r="D20" s="694" t="s">
        <v>805</v>
      </c>
      <c r="E20" s="695" t="s">
        <v>806</v>
      </c>
      <c r="F20" s="1523">
        <v>430.92</v>
      </c>
      <c r="G20" s="1524">
        <v>430.92</v>
      </c>
      <c r="H20" s="1525">
        <v>238.14000000000001</v>
      </c>
      <c r="I20" s="1526">
        <v>238.14000000000001</v>
      </c>
      <c r="J20" s="699" t="s">
        <v>63</v>
      </c>
      <c r="K20" s="697"/>
      <c r="L20" s="701">
        <v>46071</v>
      </c>
      <c r="M20" s="692"/>
    </row>
    <row r="21" spans="1:13" ht="46.5" customHeight="1" x14ac:dyDescent="0.3">
      <c r="A21" s="690">
        <v>18</v>
      </c>
      <c r="B21" s="698" t="s">
        <v>826</v>
      </c>
      <c r="C21" s="694" t="s">
        <v>16</v>
      </c>
      <c r="D21" s="694" t="s">
        <v>212</v>
      </c>
      <c r="E21" s="708" t="s">
        <v>795</v>
      </c>
      <c r="F21" s="1523">
        <v>181.44</v>
      </c>
      <c r="G21" s="1524">
        <v>181.44</v>
      </c>
      <c r="H21" s="696"/>
      <c r="I21" s="696"/>
      <c r="J21" s="699" t="s">
        <v>34</v>
      </c>
      <c r="K21" s="709"/>
      <c r="L21" s="702">
        <v>46071</v>
      </c>
      <c r="M21" s="692"/>
    </row>
    <row r="22" spans="1:13" ht="54" x14ac:dyDescent="0.3">
      <c r="A22" s="690">
        <v>19</v>
      </c>
      <c r="B22" s="693" t="s">
        <v>827</v>
      </c>
      <c r="C22" s="694">
        <v>1</v>
      </c>
      <c r="D22" s="694" t="s">
        <v>828</v>
      </c>
      <c r="E22" s="710" t="s">
        <v>829</v>
      </c>
      <c r="F22" s="653"/>
      <c r="G22" s="937">
        <v>990</v>
      </c>
      <c r="H22" s="696"/>
      <c r="I22" s="703">
        <v>800</v>
      </c>
      <c r="J22" s="699" t="s">
        <v>34</v>
      </c>
      <c r="K22" s="697" t="s">
        <v>830</v>
      </c>
      <c r="L22" s="702">
        <v>45972</v>
      </c>
      <c r="M22" s="692"/>
    </row>
    <row r="23" spans="1:13" ht="24.95" customHeight="1" x14ac:dyDescent="0.3">
      <c r="A23" s="690">
        <v>20</v>
      </c>
      <c r="B23" s="698" t="s">
        <v>831</v>
      </c>
      <c r="C23" s="694" t="s">
        <v>16</v>
      </c>
      <c r="D23" s="694" t="s">
        <v>832</v>
      </c>
      <c r="E23" s="695">
        <v>45</v>
      </c>
      <c r="F23" s="1523">
        <v>580</v>
      </c>
      <c r="G23" s="1524"/>
      <c r="H23" s="1525">
        <v>440</v>
      </c>
      <c r="I23" s="1526">
        <v>440</v>
      </c>
      <c r="J23" s="699" t="s">
        <v>34</v>
      </c>
      <c r="K23" s="700" t="s">
        <v>833</v>
      </c>
      <c r="L23" s="704">
        <v>45972</v>
      </c>
      <c r="M23" s="692"/>
    </row>
    <row r="24" spans="1:13" ht="24.95" customHeight="1" x14ac:dyDescent="0.3">
      <c r="A24" s="690">
        <v>21</v>
      </c>
      <c r="B24" s="698" t="s">
        <v>831</v>
      </c>
      <c r="C24" s="694">
        <v>1</v>
      </c>
      <c r="D24" s="694" t="s">
        <v>834</v>
      </c>
      <c r="E24" s="695" t="s">
        <v>813</v>
      </c>
      <c r="F24" s="1523">
        <v>800</v>
      </c>
      <c r="G24" s="1524">
        <v>800</v>
      </c>
      <c r="H24" s="1525">
        <v>600</v>
      </c>
      <c r="I24" s="1526">
        <v>600</v>
      </c>
      <c r="J24" s="699" t="s">
        <v>34</v>
      </c>
      <c r="K24" s="700" t="s">
        <v>833</v>
      </c>
      <c r="L24" s="702">
        <v>45972</v>
      </c>
      <c r="M24" s="692"/>
    </row>
    <row r="25" spans="1:13" ht="24.95" customHeight="1" x14ac:dyDescent="0.3">
      <c r="A25" s="690">
        <v>22</v>
      </c>
      <c r="B25" s="711" t="s">
        <v>835</v>
      </c>
      <c r="C25" s="694" t="s">
        <v>16</v>
      </c>
      <c r="D25" s="694" t="s">
        <v>832</v>
      </c>
      <c r="E25" s="695" t="s">
        <v>795</v>
      </c>
      <c r="F25" s="1523">
        <v>248.4</v>
      </c>
      <c r="G25" s="1524">
        <v>248.4</v>
      </c>
      <c r="H25" s="1525">
        <v>162</v>
      </c>
      <c r="I25" s="1526">
        <v>162</v>
      </c>
      <c r="J25" s="699" t="s">
        <v>34</v>
      </c>
      <c r="K25" s="697"/>
      <c r="L25" s="701">
        <v>46071</v>
      </c>
      <c r="M25" s="692"/>
    </row>
    <row r="26" spans="1:13" s="706" customFormat="1" ht="36" x14ac:dyDescent="0.3">
      <c r="A26" s="690">
        <v>23</v>
      </c>
      <c r="B26" s="698" t="s">
        <v>836</v>
      </c>
      <c r="C26" s="695">
        <v>3</v>
      </c>
      <c r="D26" s="695" t="s">
        <v>802</v>
      </c>
      <c r="E26" s="695" t="s">
        <v>803</v>
      </c>
      <c r="F26" s="653">
        <v>2494.8000000000002</v>
      </c>
      <c r="G26" s="937">
        <f>2494.8+480</f>
        <v>2974.8</v>
      </c>
      <c r="H26" s="696">
        <v>1782.0000000000002</v>
      </c>
      <c r="I26" s="703">
        <f>1782+480</f>
        <v>2262</v>
      </c>
      <c r="J26" s="699" t="s">
        <v>34</v>
      </c>
      <c r="K26" s="700"/>
      <c r="L26" s="702">
        <v>46071</v>
      </c>
      <c r="M26" s="705"/>
    </row>
    <row r="27" spans="1:13" ht="24.95" customHeight="1" x14ac:dyDescent="0.3">
      <c r="A27" s="690">
        <v>24</v>
      </c>
      <c r="B27" s="698" t="s">
        <v>837</v>
      </c>
      <c r="C27" s="694">
        <v>1</v>
      </c>
      <c r="D27" s="694" t="s">
        <v>805</v>
      </c>
      <c r="E27" s="695" t="s">
        <v>818</v>
      </c>
      <c r="F27" s="653">
        <v>793.80000000000007</v>
      </c>
      <c r="G27" s="937">
        <f>793.8+160</f>
        <v>953.8</v>
      </c>
      <c r="H27" s="696">
        <v>594</v>
      </c>
      <c r="I27" s="703">
        <f>594+160</f>
        <v>754</v>
      </c>
      <c r="J27" s="699" t="s">
        <v>34</v>
      </c>
      <c r="K27" s="700" t="s">
        <v>838</v>
      </c>
      <c r="L27" s="702">
        <v>46071</v>
      </c>
      <c r="M27" s="692"/>
    </row>
    <row r="28" spans="1:13" ht="24.95" customHeight="1" x14ac:dyDescent="0.3">
      <c r="A28" s="690">
        <v>25</v>
      </c>
      <c r="B28" s="693" t="s">
        <v>839</v>
      </c>
      <c r="C28" s="694">
        <v>3</v>
      </c>
      <c r="D28" s="694" t="s">
        <v>802</v>
      </c>
      <c r="E28" s="695" t="s">
        <v>821</v>
      </c>
      <c r="F28" s="653">
        <v>2381.4</v>
      </c>
      <c r="G28" s="937">
        <f>2381.4+480</f>
        <v>2861.4</v>
      </c>
      <c r="H28" s="696">
        <v>1544.4</v>
      </c>
      <c r="I28" s="703">
        <f>1544.4+480</f>
        <v>2024.4</v>
      </c>
      <c r="J28" s="699" t="s">
        <v>34</v>
      </c>
      <c r="K28" s="700" t="s">
        <v>840</v>
      </c>
      <c r="L28" s="704">
        <v>46071</v>
      </c>
      <c r="M28" s="692"/>
    </row>
    <row r="29" spans="1:13" ht="24.95" customHeight="1" x14ac:dyDescent="0.3">
      <c r="A29" s="690">
        <v>26</v>
      </c>
      <c r="B29" s="698" t="s">
        <v>841</v>
      </c>
      <c r="C29" s="694">
        <v>1</v>
      </c>
      <c r="D29" s="694" t="s">
        <v>815</v>
      </c>
      <c r="E29" s="695" t="s">
        <v>806</v>
      </c>
      <c r="F29" s="653">
        <v>453.6</v>
      </c>
      <c r="G29" s="937">
        <f>453.6+160</f>
        <v>613.6</v>
      </c>
      <c r="H29" s="696">
        <v>453.6</v>
      </c>
      <c r="I29" s="703">
        <f>453.6+160</f>
        <v>613.6</v>
      </c>
      <c r="J29" s="699" t="s">
        <v>34</v>
      </c>
      <c r="K29" s="700"/>
      <c r="L29" s="702">
        <v>46071</v>
      </c>
      <c r="M29" s="692"/>
    </row>
    <row r="30" spans="1:13" ht="48.75" customHeight="1" x14ac:dyDescent="0.3">
      <c r="A30" s="690">
        <v>27</v>
      </c>
      <c r="B30" s="693" t="s">
        <v>842</v>
      </c>
      <c r="C30" s="694">
        <v>1</v>
      </c>
      <c r="D30" s="694" t="s">
        <v>815</v>
      </c>
      <c r="E30" s="695" t="s">
        <v>843</v>
      </c>
      <c r="F30" s="653">
        <v>1360.8000000000002</v>
      </c>
      <c r="G30" s="937">
        <f>1360.8+160</f>
        <v>1520.8</v>
      </c>
      <c r="H30" s="696">
        <v>712.80000000000007</v>
      </c>
      <c r="I30" s="703">
        <f>712.8+160</f>
        <v>872.8</v>
      </c>
      <c r="J30" s="699" t="s">
        <v>34</v>
      </c>
      <c r="K30" s="697" t="s">
        <v>844</v>
      </c>
      <c r="L30" s="701">
        <v>46071</v>
      </c>
      <c r="M30" s="692"/>
    </row>
    <row r="31" spans="1:13" ht="24.95" customHeight="1" x14ac:dyDescent="0.3">
      <c r="A31" s="690">
        <v>28</v>
      </c>
      <c r="B31" s="698" t="s">
        <v>845</v>
      </c>
      <c r="C31" s="694">
        <v>2</v>
      </c>
      <c r="D31" s="694" t="s">
        <v>802</v>
      </c>
      <c r="E31" s="695" t="s">
        <v>821</v>
      </c>
      <c r="F31" s="653">
        <v>1701</v>
      </c>
      <c r="G31" s="937">
        <f>1701+320</f>
        <v>2021</v>
      </c>
      <c r="H31" s="696">
        <v>1306.8000000000002</v>
      </c>
      <c r="I31" s="703">
        <f>1306.8+320</f>
        <v>1626.8</v>
      </c>
      <c r="J31" s="699" t="s">
        <v>34</v>
      </c>
      <c r="K31" s="700"/>
      <c r="L31" s="702">
        <v>46071</v>
      </c>
      <c r="M31" s="692"/>
    </row>
    <row r="32" spans="1:13" ht="24.95" customHeight="1" x14ac:dyDescent="0.3">
      <c r="A32" s="690">
        <v>29</v>
      </c>
      <c r="B32" s="707" t="s">
        <v>846</v>
      </c>
      <c r="C32" s="694">
        <v>1</v>
      </c>
      <c r="D32" s="694" t="s">
        <v>847</v>
      </c>
      <c r="E32" s="708" t="s">
        <v>848</v>
      </c>
      <c r="F32" s="653">
        <v>1000</v>
      </c>
      <c r="G32" s="937">
        <v>1000</v>
      </c>
      <c r="H32" s="696">
        <v>734</v>
      </c>
      <c r="I32" s="703">
        <v>734</v>
      </c>
      <c r="J32" s="699" t="s">
        <v>34</v>
      </c>
      <c r="K32" s="709" t="s">
        <v>849</v>
      </c>
      <c r="L32" s="702">
        <v>45972</v>
      </c>
      <c r="M32" s="692"/>
    </row>
    <row r="33" spans="1:13" ht="24.95" customHeight="1" x14ac:dyDescent="0.3">
      <c r="A33" s="690">
        <v>30</v>
      </c>
      <c r="B33" s="698" t="s">
        <v>850</v>
      </c>
      <c r="C33" s="694" t="s">
        <v>16</v>
      </c>
      <c r="D33" s="694" t="s">
        <v>851</v>
      </c>
      <c r="E33" s="695" t="s">
        <v>806</v>
      </c>
      <c r="F33" s="653">
        <v>373.68</v>
      </c>
      <c r="G33" s="937">
        <f>373.68+160</f>
        <v>533.68000000000006</v>
      </c>
      <c r="H33" s="696">
        <v>259.20000000000005</v>
      </c>
      <c r="I33" s="703">
        <f>259.2+160</f>
        <v>419.2</v>
      </c>
      <c r="J33" s="699" t="s">
        <v>34</v>
      </c>
      <c r="K33" s="697" t="s">
        <v>852</v>
      </c>
      <c r="L33" s="704">
        <v>46071</v>
      </c>
      <c r="M33" s="692"/>
    </row>
    <row r="34" spans="1:13" ht="24.95" customHeight="1" x14ac:dyDescent="0.3">
      <c r="A34" s="690">
        <v>31</v>
      </c>
      <c r="B34" s="698" t="s">
        <v>853</v>
      </c>
      <c r="C34" s="694" t="s">
        <v>16</v>
      </c>
      <c r="D34" s="694" t="s">
        <v>851</v>
      </c>
      <c r="E34" s="695" t="s">
        <v>806</v>
      </c>
      <c r="F34" s="653">
        <v>294.84000000000003</v>
      </c>
      <c r="G34" s="937">
        <f>294.84+160</f>
        <v>454.84</v>
      </c>
      <c r="H34" s="696">
        <v>183.60000000000002</v>
      </c>
      <c r="I34" s="703">
        <f>183.6+160</f>
        <v>343.6</v>
      </c>
      <c r="J34" s="699" t="s">
        <v>34</v>
      </c>
      <c r="K34" s="697" t="s">
        <v>854</v>
      </c>
      <c r="L34" s="702">
        <v>46071</v>
      </c>
      <c r="M34" s="692"/>
    </row>
    <row r="35" spans="1:13" ht="24.95" customHeight="1" x14ac:dyDescent="0.3">
      <c r="A35" s="690">
        <v>32</v>
      </c>
      <c r="B35" s="698" t="s">
        <v>855</v>
      </c>
      <c r="C35" s="694">
        <v>1</v>
      </c>
      <c r="D35" s="694" t="s">
        <v>847</v>
      </c>
      <c r="E35" s="708" t="s">
        <v>848</v>
      </c>
      <c r="F35" s="653">
        <v>1400</v>
      </c>
      <c r="G35" s="937">
        <v>1400</v>
      </c>
      <c r="H35" s="696">
        <v>1080</v>
      </c>
      <c r="I35" s="703">
        <v>1080</v>
      </c>
      <c r="J35" s="699" t="s">
        <v>34</v>
      </c>
      <c r="K35" s="709" t="s">
        <v>849</v>
      </c>
      <c r="L35" s="701">
        <v>45972</v>
      </c>
      <c r="M35" s="692"/>
    </row>
    <row r="36" spans="1:13" ht="36" x14ac:dyDescent="0.3">
      <c r="A36" s="690">
        <v>33</v>
      </c>
      <c r="B36" s="698" t="s">
        <v>856</v>
      </c>
      <c r="C36" s="694">
        <v>1</v>
      </c>
      <c r="D36" s="694" t="s">
        <v>828</v>
      </c>
      <c r="E36" s="695" t="s">
        <v>821</v>
      </c>
      <c r="F36" s="653">
        <v>793.80000000000007</v>
      </c>
      <c r="G36" s="937">
        <f>793.8+160</f>
        <v>953.8</v>
      </c>
      <c r="H36" s="696">
        <v>595.35</v>
      </c>
      <c r="I36" s="703">
        <f>595.35+160</f>
        <v>755.35</v>
      </c>
      <c r="J36" s="699" t="s">
        <v>63</v>
      </c>
      <c r="K36" s="712"/>
      <c r="L36" s="702">
        <v>46071</v>
      </c>
      <c r="M36" s="692"/>
    </row>
    <row r="37" spans="1:13" ht="24.95" customHeight="1" x14ac:dyDescent="0.3">
      <c r="A37" s="690">
        <v>34</v>
      </c>
      <c r="B37" s="698" t="s">
        <v>857</v>
      </c>
      <c r="C37" s="694" t="s">
        <v>16</v>
      </c>
      <c r="D37" s="694" t="s">
        <v>832</v>
      </c>
      <c r="E37" s="695" t="s">
        <v>813</v>
      </c>
      <c r="F37" s="1523">
        <v>450</v>
      </c>
      <c r="G37" s="1524"/>
      <c r="H37" s="1525">
        <v>300</v>
      </c>
      <c r="I37" s="1526">
        <v>300</v>
      </c>
      <c r="J37" s="699" t="s">
        <v>34</v>
      </c>
      <c r="K37" s="697" t="s">
        <v>830</v>
      </c>
      <c r="L37" s="702">
        <v>45972</v>
      </c>
      <c r="M37" s="692"/>
    </row>
    <row r="38" spans="1:13" ht="24.95" customHeight="1" x14ac:dyDescent="0.3">
      <c r="A38" s="690">
        <v>35</v>
      </c>
      <c r="B38" s="698" t="s">
        <v>857</v>
      </c>
      <c r="C38" s="694">
        <v>1</v>
      </c>
      <c r="D38" s="694" t="s">
        <v>847</v>
      </c>
      <c r="E38" s="695" t="s">
        <v>858</v>
      </c>
      <c r="F38" s="653">
        <v>549</v>
      </c>
      <c r="G38" s="937">
        <v>549</v>
      </c>
      <c r="H38" s="696">
        <v>385.5</v>
      </c>
      <c r="I38" s="703">
        <v>385.5</v>
      </c>
      <c r="J38" s="699" t="s">
        <v>34</v>
      </c>
      <c r="K38" s="697" t="s">
        <v>830</v>
      </c>
      <c r="L38" s="701">
        <v>45972</v>
      </c>
      <c r="M38" s="692"/>
    </row>
    <row r="39" spans="1:13" ht="30.75" customHeight="1" x14ac:dyDescent="0.3">
      <c r="A39" s="690">
        <v>36</v>
      </c>
      <c r="B39" s="693" t="s">
        <v>859</v>
      </c>
      <c r="C39" s="694">
        <v>2</v>
      </c>
      <c r="D39" s="694" t="s">
        <v>802</v>
      </c>
      <c r="E39" s="695">
        <v>150</v>
      </c>
      <c r="F39" s="653">
        <v>1814.4</v>
      </c>
      <c r="G39" s="937">
        <f>1814.4+320</f>
        <v>2134.4</v>
      </c>
      <c r="H39" s="696">
        <v>1306.8000000000002</v>
      </c>
      <c r="I39" s="703">
        <f>1306.8+320</f>
        <v>1626.8</v>
      </c>
      <c r="J39" s="699" t="s">
        <v>63</v>
      </c>
      <c r="K39" s="700"/>
      <c r="L39" s="702">
        <v>46071</v>
      </c>
      <c r="M39" s="692"/>
    </row>
    <row r="40" spans="1:13" ht="64.5" customHeight="1" x14ac:dyDescent="0.3">
      <c r="A40" s="690">
        <v>37</v>
      </c>
      <c r="B40" s="698" t="s">
        <v>860</v>
      </c>
      <c r="C40" s="694">
        <v>7</v>
      </c>
      <c r="D40" s="694" t="s">
        <v>861</v>
      </c>
      <c r="E40" s="695" t="s">
        <v>862</v>
      </c>
      <c r="F40" s="653">
        <v>3742.2000000000003</v>
      </c>
      <c r="G40" s="937">
        <f>3742.2+7*160</f>
        <v>4862.2</v>
      </c>
      <c r="H40" s="696">
        <v>2862</v>
      </c>
      <c r="I40" s="703">
        <f>2862+7*160</f>
        <v>3982</v>
      </c>
      <c r="J40" s="699" t="s">
        <v>34</v>
      </c>
      <c r="K40" s="700"/>
      <c r="L40" s="702">
        <v>46071</v>
      </c>
      <c r="M40" s="692"/>
    </row>
    <row r="41" spans="1:13" ht="39.950000000000003" customHeight="1" x14ac:dyDescent="0.3">
      <c r="A41" s="690">
        <v>38</v>
      </c>
      <c r="B41" s="693" t="s">
        <v>863</v>
      </c>
      <c r="C41" s="694">
        <v>5</v>
      </c>
      <c r="D41" s="694" t="s">
        <v>241</v>
      </c>
      <c r="E41" s="695" t="s">
        <v>862</v>
      </c>
      <c r="F41" s="653">
        <v>2835</v>
      </c>
      <c r="G41" s="937">
        <f>2835+5*160</f>
        <v>3635</v>
      </c>
      <c r="H41" s="696">
        <v>2149.2000000000003</v>
      </c>
      <c r="I41" s="703">
        <f>2149.2+5*160</f>
        <v>2949.2</v>
      </c>
      <c r="J41" s="699" t="s">
        <v>864</v>
      </c>
      <c r="K41" s="713"/>
      <c r="L41" s="702">
        <v>46071</v>
      </c>
      <c r="M41" s="692"/>
    </row>
    <row r="42" spans="1:13" ht="36" x14ac:dyDescent="0.3">
      <c r="A42" s="690">
        <v>39</v>
      </c>
      <c r="B42" s="693" t="s">
        <v>865</v>
      </c>
      <c r="C42" s="694">
        <v>1</v>
      </c>
      <c r="D42" s="694" t="s">
        <v>866</v>
      </c>
      <c r="E42" s="695" t="s">
        <v>806</v>
      </c>
      <c r="F42" s="653">
        <v>793.80000000000007</v>
      </c>
      <c r="G42" s="937">
        <f>793.8+160</f>
        <v>953.8</v>
      </c>
      <c r="H42" s="696">
        <v>658.80000000000007</v>
      </c>
      <c r="I42" s="703">
        <f>658.8+160</f>
        <v>818.8</v>
      </c>
      <c r="J42" s="699" t="s">
        <v>34</v>
      </c>
      <c r="K42" s="700" t="s">
        <v>867</v>
      </c>
      <c r="L42" s="702">
        <v>46071</v>
      </c>
      <c r="M42" s="692"/>
    </row>
    <row r="43" spans="1:13" ht="24.95" customHeight="1" x14ac:dyDescent="0.3">
      <c r="A43" s="690">
        <v>40</v>
      </c>
      <c r="B43" s="698" t="s">
        <v>868</v>
      </c>
      <c r="C43" s="694">
        <v>1</v>
      </c>
      <c r="D43" s="694" t="s">
        <v>805</v>
      </c>
      <c r="E43" s="695" t="s">
        <v>818</v>
      </c>
      <c r="F43" s="653">
        <v>793.80000000000007</v>
      </c>
      <c r="G43" s="937">
        <f>793.8+160</f>
        <v>953.8</v>
      </c>
      <c r="H43" s="696">
        <v>594</v>
      </c>
      <c r="I43" s="703">
        <f>594+160</f>
        <v>754</v>
      </c>
      <c r="J43" s="699" t="s">
        <v>34</v>
      </c>
      <c r="K43" s="700"/>
      <c r="L43" s="702">
        <v>46071</v>
      </c>
      <c r="M43" s="692"/>
    </row>
    <row r="44" spans="1:13" ht="36" x14ac:dyDescent="0.3">
      <c r="A44" s="690">
        <v>41</v>
      </c>
      <c r="B44" s="698" t="s">
        <v>869</v>
      </c>
      <c r="C44" s="694">
        <v>1</v>
      </c>
      <c r="D44" s="694" t="s">
        <v>847</v>
      </c>
      <c r="E44" s="708" t="s">
        <v>848</v>
      </c>
      <c r="F44" s="653">
        <v>1400</v>
      </c>
      <c r="G44" s="937">
        <v>1400</v>
      </c>
      <c r="H44" s="696">
        <v>1080</v>
      </c>
      <c r="I44" s="703">
        <v>1080</v>
      </c>
      <c r="J44" s="699" t="s">
        <v>34</v>
      </c>
      <c r="K44" s="709" t="s">
        <v>849</v>
      </c>
      <c r="L44" s="704">
        <v>45972</v>
      </c>
      <c r="M44" s="692"/>
    </row>
    <row r="45" spans="1:13" ht="24.95" customHeight="1" x14ac:dyDescent="0.3">
      <c r="A45" s="690">
        <v>42</v>
      </c>
      <c r="B45" s="698" t="s">
        <v>870</v>
      </c>
      <c r="C45" s="694" t="s">
        <v>16</v>
      </c>
      <c r="D45" s="694" t="s">
        <v>871</v>
      </c>
      <c r="E45" s="695" t="s">
        <v>806</v>
      </c>
      <c r="F45" s="1523">
        <v>302.40000000000003</v>
      </c>
      <c r="G45" s="1524"/>
      <c r="H45" s="1525">
        <v>237.60000000000002</v>
      </c>
      <c r="I45" s="1526">
        <v>237.60000000000002</v>
      </c>
      <c r="J45" s="699" t="s">
        <v>34</v>
      </c>
      <c r="K45" s="697"/>
      <c r="L45" s="702">
        <v>46071</v>
      </c>
      <c r="M45" s="692"/>
    </row>
    <row r="46" spans="1:13" ht="24.95" customHeight="1" x14ac:dyDescent="0.3">
      <c r="A46" s="690">
        <v>43</v>
      </c>
      <c r="B46" s="698" t="s">
        <v>870</v>
      </c>
      <c r="C46" s="694">
        <v>1</v>
      </c>
      <c r="D46" s="694" t="s">
        <v>794</v>
      </c>
      <c r="E46" s="695" t="s">
        <v>806</v>
      </c>
      <c r="F46" s="653">
        <v>432</v>
      </c>
      <c r="G46" s="937">
        <f>432+160</f>
        <v>592</v>
      </c>
      <c r="H46" s="696">
        <v>259.20000000000005</v>
      </c>
      <c r="I46" s="703">
        <f>259.2+160</f>
        <v>419.2</v>
      </c>
      <c r="J46" s="699" t="s">
        <v>34</v>
      </c>
      <c r="K46" s="697" t="s">
        <v>872</v>
      </c>
      <c r="L46" s="701">
        <v>46071</v>
      </c>
    </row>
    <row r="47" spans="1:13" ht="54" x14ac:dyDescent="0.3">
      <c r="A47" s="690">
        <v>44</v>
      </c>
      <c r="B47" s="698" t="s">
        <v>873</v>
      </c>
      <c r="C47" s="694" t="s">
        <v>16</v>
      </c>
      <c r="D47" s="694" t="s">
        <v>832</v>
      </c>
      <c r="E47" s="695" t="s">
        <v>818</v>
      </c>
      <c r="F47" s="1523">
        <v>650</v>
      </c>
      <c r="G47" s="1524"/>
      <c r="H47" s="1525">
        <v>500</v>
      </c>
      <c r="I47" s="1526">
        <v>500</v>
      </c>
      <c r="J47" s="699" t="s">
        <v>34</v>
      </c>
      <c r="K47" s="700" t="s">
        <v>874</v>
      </c>
      <c r="L47" s="702">
        <v>45972</v>
      </c>
    </row>
    <row r="48" spans="1:13" ht="54" x14ac:dyDescent="0.3">
      <c r="A48" s="690">
        <v>45</v>
      </c>
      <c r="B48" s="698" t="s">
        <v>873</v>
      </c>
      <c r="C48" s="694">
        <v>1</v>
      </c>
      <c r="D48" s="694" t="s">
        <v>812</v>
      </c>
      <c r="E48" s="695" t="s">
        <v>818</v>
      </c>
      <c r="F48" s="653">
        <v>1180</v>
      </c>
      <c r="G48" s="937">
        <v>1180</v>
      </c>
      <c r="H48" s="696">
        <v>790</v>
      </c>
      <c r="I48" s="703">
        <v>790</v>
      </c>
      <c r="J48" s="699" t="s">
        <v>34</v>
      </c>
      <c r="K48" s="713" t="s">
        <v>875</v>
      </c>
      <c r="L48" s="702">
        <v>45972</v>
      </c>
    </row>
    <row r="49" spans="1:16" ht="54" x14ac:dyDescent="0.3">
      <c r="A49" s="690">
        <v>46</v>
      </c>
      <c r="B49" s="698" t="s">
        <v>873</v>
      </c>
      <c r="C49" s="694">
        <v>2</v>
      </c>
      <c r="D49" s="694" t="s">
        <v>802</v>
      </c>
      <c r="E49" s="695" t="s">
        <v>818</v>
      </c>
      <c r="F49" s="653">
        <v>1080</v>
      </c>
      <c r="G49" s="937">
        <f>1080+320</f>
        <v>1400</v>
      </c>
      <c r="H49" s="696">
        <v>594</v>
      </c>
      <c r="I49" s="703">
        <f>594+320</f>
        <v>914</v>
      </c>
      <c r="J49" s="699" t="s">
        <v>34</v>
      </c>
      <c r="K49" s="713" t="s">
        <v>876</v>
      </c>
      <c r="L49" s="704">
        <v>46071</v>
      </c>
    </row>
    <row r="50" spans="1:16" ht="24.95" customHeight="1" x14ac:dyDescent="0.3">
      <c r="A50" s="690">
        <v>47</v>
      </c>
      <c r="B50" s="698" t="s">
        <v>877</v>
      </c>
      <c r="C50" s="694">
        <v>1</v>
      </c>
      <c r="D50" s="694" t="s">
        <v>805</v>
      </c>
      <c r="E50" s="695" t="s">
        <v>813</v>
      </c>
      <c r="F50" s="653">
        <v>626.40000000000009</v>
      </c>
      <c r="G50" s="937">
        <f>626.4+160</f>
        <v>786.4</v>
      </c>
      <c r="H50" s="696">
        <v>475.20000000000005</v>
      </c>
      <c r="I50" s="703">
        <f>475.2+160</f>
        <v>635.20000000000005</v>
      </c>
      <c r="J50" s="699" t="s">
        <v>34</v>
      </c>
      <c r="K50" s="700"/>
      <c r="L50" s="702">
        <v>46071</v>
      </c>
    </row>
    <row r="51" spans="1:16" ht="24.95" customHeight="1" thickBot="1" x14ac:dyDescent="0.35">
      <c r="A51" s="714">
        <v>48</v>
      </c>
      <c r="B51" s="715" t="s">
        <v>878</v>
      </c>
      <c r="C51" s="716">
        <v>3</v>
      </c>
      <c r="D51" s="716" t="s">
        <v>802</v>
      </c>
      <c r="E51" s="717" t="s">
        <v>803</v>
      </c>
      <c r="F51" s="673">
        <v>2484</v>
      </c>
      <c r="G51" s="1071">
        <f>2484+480</f>
        <v>2964</v>
      </c>
      <c r="H51" s="718">
        <v>1998.0000000000002</v>
      </c>
      <c r="I51" s="1094">
        <f>1998+480</f>
        <v>2478</v>
      </c>
      <c r="J51" s="719" t="s">
        <v>34</v>
      </c>
      <c r="K51" s="720"/>
      <c r="L51" s="721">
        <v>46071</v>
      </c>
    </row>
    <row r="52" spans="1:16" ht="24.95" customHeight="1" thickBot="1" x14ac:dyDescent="0.35">
      <c r="A52" s="681"/>
      <c r="B52" s="722"/>
      <c r="C52" s="723"/>
      <c r="D52" s="723"/>
      <c r="E52" s="724"/>
      <c r="F52" s="725"/>
      <c r="G52" s="725"/>
      <c r="H52" s="725"/>
      <c r="I52" s="725"/>
      <c r="J52" s="723"/>
      <c r="K52" s="726"/>
      <c r="L52" s="727"/>
    </row>
    <row r="53" spans="1:16" ht="59.25" customHeight="1" thickBot="1" x14ac:dyDescent="0.35">
      <c r="A53" s="728"/>
      <c r="B53" s="343" t="s">
        <v>77</v>
      </c>
      <c r="C53" s="1459" t="s">
        <v>78</v>
      </c>
      <c r="D53" s="1460"/>
      <c r="F53" s="1"/>
      <c r="G53" s="1"/>
      <c r="H53" s="1"/>
      <c r="I53" s="1"/>
    </row>
    <row r="54" spans="1:16" ht="24.95" customHeight="1" x14ac:dyDescent="0.3">
      <c r="A54" s="728"/>
      <c r="B54" s="344" t="s">
        <v>79</v>
      </c>
      <c r="C54" s="1521">
        <v>160</v>
      </c>
      <c r="D54" s="1522"/>
      <c r="F54" s="1"/>
      <c r="G54" s="1"/>
      <c r="H54" s="1"/>
      <c r="I54" s="1"/>
    </row>
    <row r="55" spans="1:16" ht="24.95" customHeight="1" x14ac:dyDescent="0.3">
      <c r="A55" s="728"/>
      <c r="B55" s="514" t="s">
        <v>80</v>
      </c>
      <c r="C55" s="1517">
        <v>380</v>
      </c>
      <c r="D55" s="1518"/>
      <c r="F55" s="1"/>
      <c r="G55" s="1"/>
      <c r="H55" s="1"/>
      <c r="I55" s="1"/>
    </row>
    <row r="56" spans="1:16" ht="24.95" customHeight="1" x14ac:dyDescent="0.3">
      <c r="A56" s="728"/>
      <c r="B56" s="514" t="s">
        <v>81</v>
      </c>
      <c r="C56" s="1517">
        <v>485</v>
      </c>
      <c r="D56" s="1518"/>
      <c r="F56" s="1"/>
      <c r="G56" s="1"/>
      <c r="H56" s="1"/>
      <c r="I56" s="1"/>
    </row>
    <row r="57" spans="1:16" ht="24.95" customHeight="1" x14ac:dyDescent="0.3">
      <c r="A57" s="728"/>
      <c r="B57" s="347" t="s">
        <v>82</v>
      </c>
      <c r="C57" s="1517">
        <v>540</v>
      </c>
      <c r="D57" s="1518"/>
      <c r="F57" s="1"/>
      <c r="G57" s="1"/>
      <c r="H57" s="1"/>
      <c r="I57" s="1"/>
    </row>
    <row r="58" spans="1:16" ht="24.95" customHeight="1" thickBot="1" x14ac:dyDescent="0.35">
      <c r="A58" s="728"/>
      <c r="B58" s="348" t="s">
        <v>83</v>
      </c>
      <c r="C58" s="1519">
        <v>760</v>
      </c>
      <c r="D58" s="1520"/>
      <c r="F58" s="1"/>
      <c r="G58" s="1"/>
      <c r="H58" s="1"/>
      <c r="I58" s="1"/>
    </row>
    <row r="59" spans="1:16" x14ac:dyDescent="0.3">
      <c r="A59" s="681"/>
      <c r="B59" s="729"/>
      <c r="C59" s="730"/>
      <c r="D59" s="730"/>
      <c r="E59" s="681"/>
      <c r="J59" s="732"/>
    </row>
    <row r="60" spans="1:16" ht="22.5" customHeight="1" x14ac:dyDescent="0.3">
      <c r="B60" s="1200" t="s">
        <v>273</v>
      </c>
      <c r="C60" s="1200"/>
      <c r="D60" s="1200"/>
      <c r="E60" s="1200"/>
      <c r="F60" s="1200"/>
      <c r="G60" s="1200"/>
      <c r="H60"/>
      <c r="I60"/>
      <c r="J60"/>
      <c r="K60"/>
      <c r="L60"/>
      <c r="M60"/>
      <c r="N60"/>
      <c r="O60"/>
    </row>
    <row r="61" spans="1:16" s="20" customFormat="1" ht="21" customHeight="1" x14ac:dyDescent="0.3">
      <c r="B61" s="1225" t="s">
        <v>85</v>
      </c>
      <c r="C61" s="1226"/>
      <c r="D61" s="1226"/>
      <c r="E61" s="1226"/>
      <c r="F61" s="1226"/>
      <c r="G61" s="1226"/>
      <c r="H61" s="1226"/>
      <c r="I61" s="1226"/>
      <c r="J61" s="1226"/>
      <c r="K61" s="1226"/>
      <c r="L61" s="1330"/>
      <c r="P61" s="65"/>
    </row>
    <row r="62" spans="1:16" s="20" customFormat="1" ht="58.5" customHeight="1" x14ac:dyDescent="0.3">
      <c r="B62" s="1178" t="s">
        <v>95</v>
      </c>
      <c r="C62" s="1178"/>
      <c r="D62" s="1178"/>
      <c r="E62" s="1178"/>
      <c r="F62" s="1178"/>
      <c r="G62" s="1178"/>
      <c r="H62" s="1178"/>
      <c r="I62" s="1178"/>
      <c r="J62" s="1178"/>
      <c r="K62" s="1178"/>
      <c r="L62" s="1178"/>
      <c r="P62" s="65"/>
    </row>
    <row r="63" spans="1:16" s="20" customFormat="1" ht="56.25" customHeight="1" x14ac:dyDescent="0.3">
      <c r="B63" s="1178" t="s">
        <v>96</v>
      </c>
      <c r="C63" s="1178"/>
      <c r="D63" s="1178"/>
      <c r="E63" s="1178"/>
      <c r="F63" s="1178"/>
      <c r="G63" s="1178"/>
      <c r="H63" s="1178"/>
      <c r="I63" s="1178"/>
      <c r="J63" s="1178"/>
      <c r="K63" s="1178"/>
      <c r="L63" s="1178"/>
      <c r="P63" s="65"/>
    </row>
    <row r="64" spans="1:16" s="20" customFormat="1" ht="36.75" customHeight="1" x14ac:dyDescent="0.3">
      <c r="B64" s="1178" t="s">
        <v>97</v>
      </c>
      <c r="C64" s="1178"/>
      <c r="D64" s="1178"/>
      <c r="E64" s="1178"/>
      <c r="F64" s="1178"/>
      <c r="G64" s="1178"/>
      <c r="H64" s="1178"/>
      <c r="I64" s="1178"/>
      <c r="J64" s="1178"/>
      <c r="K64" s="1178"/>
      <c r="L64" s="1178"/>
      <c r="P64" s="65"/>
    </row>
    <row r="65" spans="2:16" s="20" customFormat="1" ht="66.75" customHeight="1" x14ac:dyDescent="0.3">
      <c r="B65" s="1209" t="s">
        <v>879</v>
      </c>
      <c r="C65" s="1210"/>
      <c r="D65" s="1210"/>
      <c r="E65" s="1210"/>
      <c r="F65" s="1210"/>
      <c r="G65" s="1210"/>
      <c r="H65" s="1210"/>
      <c r="I65" s="1210"/>
      <c r="J65" s="1210"/>
      <c r="K65" s="1210"/>
      <c r="L65" s="1331"/>
      <c r="P65" s="65"/>
    </row>
    <row r="66" spans="2:16" s="20" customFormat="1" ht="27.75" customHeight="1" x14ac:dyDescent="0.3">
      <c r="B66" s="1178" t="s">
        <v>99</v>
      </c>
      <c r="C66" s="1178"/>
      <c r="D66" s="1178"/>
      <c r="E66" s="1178"/>
      <c r="F66" s="1178"/>
      <c r="G66" s="1178"/>
      <c r="H66" s="1178"/>
      <c r="I66" s="1178"/>
      <c r="J66" s="1178"/>
      <c r="K66" s="1178"/>
      <c r="L66" s="1178"/>
      <c r="P66" s="65"/>
    </row>
    <row r="67" spans="2:16" s="20" customFormat="1" ht="21.75" customHeight="1" x14ac:dyDescent="0.3">
      <c r="B67" s="1178" t="s">
        <v>100</v>
      </c>
      <c r="C67" s="1178"/>
      <c r="D67" s="1178"/>
      <c r="E67" s="1178"/>
      <c r="F67" s="1178"/>
      <c r="G67" s="1178"/>
      <c r="H67" s="1178"/>
      <c r="I67" s="1178"/>
      <c r="J67" s="1178"/>
      <c r="K67" s="1178"/>
      <c r="L67" s="1178"/>
      <c r="P67" s="65"/>
    </row>
    <row r="68" spans="2:16" s="20" customFormat="1" ht="47.25" customHeight="1" x14ac:dyDescent="0.3">
      <c r="B68" s="1209" t="s">
        <v>101</v>
      </c>
      <c r="C68" s="1210"/>
      <c r="D68" s="1210"/>
      <c r="E68" s="1210"/>
      <c r="F68" s="1210"/>
      <c r="G68" s="1210"/>
      <c r="H68" s="1210"/>
      <c r="I68" s="1210"/>
      <c r="J68" s="1210"/>
      <c r="K68" s="1210"/>
      <c r="L68" s="1331"/>
      <c r="P68" s="65"/>
    </row>
    <row r="69" spans="2:16" s="20" customFormat="1" ht="74.099999999999994" customHeight="1" x14ac:dyDescent="0.3">
      <c r="B69" s="1178" t="s">
        <v>102</v>
      </c>
      <c r="C69" s="1178"/>
      <c r="D69" s="1178"/>
      <c r="E69" s="1178"/>
      <c r="F69" s="1178"/>
      <c r="G69" s="1178"/>
      <c r="H69" s="1178"/>
      <c r="I69" s="1178"/>
      <c r="J69" s="1178"/>
      <c r="K69" s="1178"/>
      <c r="L69" s="1178"/>
      <c r="P69" s="65"/>
    </row>
    <row r="70" spans="2:16" s="20" customFormat="1" ht="24.75" customHeight="1" x14ac:dyDescent="0.3">
      <c r="B70" s="733"/>
      <c r="C70" s="733"/>
      <c r="D70" s="733"/>
      <c r="E70" s="733"/>
      <c r="F70" s="279"/>
      <c r="G70" s="279"/>
      <c r="H70" s="279"/>
      <c r="I70" s="279"/>
      <c r="J70" s="279"/>
      <c r="K70" s="279"/>
      <c r="L70" s="279"/>
      <c r="P70" s="65"/>
    </row>
    <row r="71" spans="2:16" s="20" customFormat="1" ht="26.25" customHeight="1" x14ac:dyDescent="0.35">
      <c r="B71" s="1213" t="s">
        <v>86</v>
      </c>
      <c r="C71" s="1213"/>
      <c r="D71" s="1213"/>
      <c r="E71" s="1213"/>
      <c r="F71" s="1213"/>
      <c r="G71" s="62"/>
      <c r="H71" s="3"/>
      <c r="I71" s="3"/>
      <c r="J71" s="64"/>
      <c r="K71" s="3"/>
      <c r="L71" s="3"/>
      <c r="P71" s="65"/>
    </row>
    <row r="72" spans="2:16" s="20" customFormat="1" ht="139.5" customHeight="1" x14ac:dyDescent="0.35">
      <c r="B72" s="1177" t="s">
        <v>275</v>
      </c>
      <c r="C72" s="1177"/>
      <c r="D72" s="1177"/>
      <c r="E72" s="1177"/>
      <c r="F72" s="1177"/>
      <c r="G72" s="63"/>
      <c r="H72" s="64"/>
      <c r="I72" s="64"/>
      <c r="J72" s="64"/>
      <c r="K72" s="3"/>
      <c r="L72" s="3"/>
      <c r="P72" s="65"/>
    </row>
    <row r="73" spans="2:16" s="20" customFormat="1" ht="54.75" customHeight="1" x14ac:dyDescent="0.35">
      <c r="B73" s="1177" t="s">
        <v>314</v>
      </c>
      <c r="C73" s="1177"/>
      <c r="D73" s="1177"/>
      <c r="E73" s="1177"/>
      <c r="F73" s="1177"/>
      <c r="G73" s="62"/>
      <c r="H73" s="3"/>
      <c r="I73" s="3"/>
      <c r="J73" s="64"/>
      <c r="K73" s="3"/>
      <c r="L73" s="3"/>
      <c r="P73" s="65"/>
    </row>
    <row r="74" spans="2:16" s="20" customFormat="1" ht="41.25" customHeight="1" x14ac:dyDescent="0.35">
      <c r="B74" s="1178" t="s">
        <v>277</v>
      </c>
      <c r="C74" s="1178"/>
      <c r="D74" s="1178"/>
      <c r="E74" s="1178"/>
      <c r="F74" s="1178"/>
      <c r="G74" s="63"/>
      <c r="H74" s="64"/>
      <c r="I74" s="64"/>
      <c r="J74" s="64"/>
      <c r="K74" s="3"/>
      <c r="L74" s="3"/>
      <c r="P74" s="65"/>
    </row>
    <row r="75" spans="2:16" s="20" customFormat="1" ht="42" customHeight="1" x14ac:dyDescent="0.35">
      <c r="B75" s="1177" t="s">
        <v>89</v>
      </c>
      <c r="C75" s="1177"/>
      <c r="D75" s="1177"/>
      <c r="E75" s="1177"/>
      <c r="F75" s="1177"/>
      <c r="G75" s="62"/>
      <c r="H75" s="3"/>
      <c r="I75" s="3"/>
      <c r="J75" s="64"/>
      <c r="K75" s="3"/>
      <c r="L75" s="3"/>
      <c r="P75" s="65"/>
    </row>
    <row r="76" spans="2:16" s="20" customFormat="1" ht="24" customHeight="1" x14ac:dyDescent="0.35">
      <c r="B76" s="1178" t="s">
        <v>90</v>
      </c>
      <c r="C76" s="1178"/>
      <c r="D76" s="1178"/>
      <c r="E76" s="1178"/>
      <c r="F76" s="1178"/>
      <c r="G76" s="62"/>
      <c r="H76" s="3"/>
      <c r="I76" s="3"/>
      <c r="J76" s="64"/>
      <c r="K76" s="3"/>
      <c r="L76" s="3"/>
      <c r="P76" s="65"/>
    </row>
    <row r="77" spans="2:16" s="20" customFormat="1" ht="21" customHeight="1" x14ac:dyDescent="0.35">
      <c r="B77" s="1178" t="s">
        <v>91</v>
      </c>
      <c r="C77" s="1178"/>
      <c r="D77" s="1178"/>
      <c r="E77" s="1178"/>
      <c r="F77" s="1178"/>
      <c r="G77" s="62"/>
      <c r="H77" s="3"/>
      <c r="I77" s="3"/>
      <c r="J77" s="64"/>
      <c r="K77" s="3"/>
      <c r="L77" s="3"/>
      <c r="P77" s="65"/>
    </row>
  </sheetData>
  <mergeCells count="56">
    <mergeCell ref="A1:L1"/>
    <mergeCell ref="A2:A3"/>
    <mergeCell ref="B2:B3"/>
    <mergeCell ref="C2:C3"/>
    <mergeCell ref="D2:D3"/>
    <mergeCell ref="E2:E3"/>
    <mergeCell ref="F2:G2"/>
    <mergeCell ref="H2:I2"/>
    <mergeCell ref="J2:J3"/>
    <mergeCell ref="K2:K3"/>
    <mergeCell ref="F23:G23"/>
    <mergeCell ref="H23:I23"/>
    <mergeCell ref="L2:L3"/>
    <mergeCell ref="F4:G4"/>
    <mergeCell ref="H4:I4"/>
    <mergeCell ref="F7:G7"/>
    <mergeCell ref="H7:I7"/>
    <mergeCell ref="F9:G9"/>
    <mergeCell ref="F11:G11"/>
    <mergeCell ref="H11:I11"/>
    <mergeCell ref="F20:G20"/>
    <mergeCell ref="H20:I20"/>
    <mergeCell ref="F21:G21"/>
    <mergeCell ref="C54:D54"/>
    <mergeCell ref="F24:G24"/>
    <mergeCell ref="H24:I24"/>
    <mergeCell ref="F25:G25"/>
    <mergeCell ref="H25:I25"/>
    <mergeCell ref="F37:G37"/>
    <mergeCell ref="H37:I37"/>
    <mergeCell ref="F45:G45"/>
    <mergeCell ref="H45:I45"/>
    <mergeCell ref="F47:G47"/>
    <mergeCell ref="H47:I47"/>
    <mergeCell ref="C53:D53"/>
    <mergeCell ref="B67:L67"/>
    <mergeCell ref="C55:D55"/>
    <mergeCell ref="C56:D56"/>
    <mergeCell ref="C57:D57"/>
    <mergeCell ref="C58:D58"/>
    <mergeCell ref="B60:G60"/>
    <mergeCell ref="B61:L61"/>
    <mergeCell ref="B62:L62"/>
    <mergeCell ref="B63:L63"/>
    <mergeCell ref="B64:L64"/>
    <mergeCell ref="B65:L65"/>
    <mergeCell ref="B66:L66"/>
    <mergeCell ref="B75:F75"/>
    <mergeCell ref="B76:F76"/>
    <mergeCell ref="B77:F77"/>
    <mergeCell ref="B68:L68"/>
    <mergeCell ref="B69:L69"/>
    <mergeCell ref="B71:F71"/>
    <mergeCell ref="B72:F72"/>
    <mergeCell ref="B73:F73"/>
    <mergeCell ref="B74:F7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3F4C3-7DB9-419D-BD03-42549080412D}">
  <dimension ref="A1:H49"/>
  <sheetViews>
    <sheetView workbookViewId="0">
      <selection activeCell="E10" sqref="E10"/>
    </sheetView>
  </sheetViews>
  <sheetFormatPr defaultRowHeight="15" x14ac:dyDescent="0.25"/>
  <cols>
    <col min="1" max="1" width="22.28515625" customWidth="1"/>
    <col min="2" max="2" width="14" style="337" customWidth="1"/>
    <col min="3" max="3" width="73" style="337" bestFit="1" customWidth="1"/>
    <col min="4" max="4" width="15.28515625" style="734" bestFit="1" customWidth="1"/>
    <col min="5" max="5" width="56.42578125" style="337" bestFit="1" customWidth="1"/>
    <col min="6" max="6" width="20.28515625" style="337" customWidth="1"/>
    <col min="7" max="7" width="39.42578125" style="337" bestFit="1" customWidth="1"/>
    <col min="8" max="8" width="15.7109375" style="337" customWidth="1"/>
  </cols>
  <sheetData>
    <row r="1" spans="1:8" ht="17.25" thickBot="1" x14ac:dyDescent="0.3">
      <c r="A1" s="735" t="s">
        <v>2</v>
      </c>
      <c r="B1" s="736" t="s">
        <v>155</v>
      </c>
      <c r="C1" s="736" t="s">
        <v>5</v>
      </c>
      <c r="D1" s="737" t="s">
        <v>107</v>
      </c>
      <c r="E1" s="736" t="s">
        <v>880</v>
      </c>
      <c r="F1" s="736" t="s">
        <v>881</v>
      </c>
      <c r="G1" s="738" t="s">
        <v>882</v>
      </c>
      <c r="H1" s="738" t="s">
        <v>8</v>
      </c>
    </row>
    <row r="2" spans="1:8" ht="17.25" thickBot="1" x14ac:dyDescent="0.3">
      <c r="A2" s="1100" t="s">
        <v>883</v>
      </c>
      <c r="B2" s="1096" t="s">
        <v>884</v>
      </c>
      <c r="C2" s="1096" t="s">
        <v>16</v>
      </c>
      <c r="D2" s="1097" t="s">
        <v>16</v>
      </c>
      <c r="E2" s="1096" t="s">
        <v>885</v>
      </c>
      <c r="F2" s="739">
        <v>350</v>
      </c>
      <c r="G2" s="1095">
        <v>150</v>
      </c>
      <c r="H2" s="1096" t="s">
        <v>886</v>
      </c>
    </row>
    <row r="3" spans="1:8" ht="33.75" thickBot="1" x14ac:dyDescent="0.3">
      <c r="A3" s="1100" t="s">
        <v>887</v>
      </c>
      <c r="B3" s="1096" t="s">
        <v>884</v>
      </c>
      <c r="C3" s="1096" t="s">
        <v>16</v>
      </c>
      <c r="D3" s="1097" t="s">
        <v>16</v>
      </c>
      <c r="E3" s="1096" t="s">
        <v>888</v>
      </c>
      <c r="F3" s="739">
        <v>600</v>
      </c>
      <c r="G3" s="1095">
        <v>350</v>
      </c>
      <c r="H3" s="1096" t="s">
        <v>886</v>
      </c>
    </row>
    <row r="4" spans="1:8" x14ac:dyDescent="0.25">
      <c r="A4" s="1551" t="s">
        <v>889</v>
      </c>
      <c r="B4" s="1541" t="s">
        <v>890</v>
      </c>
      <c r="C4" s="1541" t="s">
        <v>16</v>
      </c>
      <c r="D4" s="1543" t="s">
        <v>16</v>
      </c>
      <c r="E4" s="1541" t="s">
        <v>891</v>
      </c>
      <c r="F4" s="1547">
        <v>550</v>
      </c>
      <c r="G4" s="1549">
        <v>250</v>
      </c>
      <c r="H4" s="1541" t="s">
        <v>892</v>
      </c>
    </row>
    <row r="5" spans="1:8" ht="15.75" thickBot="1" x14ac:dyDescent="0.3">
      <c r="A5" s="1553"/>
      <c r="B5" s="1542"/>
      <c r="C5" s="1542"/>
      <c r="D5" s="1544"/>
      <c r="E5" s="1542"/>
      <c r="F5" s="1548"/>
      <c r="G5" s="1550"/>
      <c r="H5" s="1542"/>
    </row>
    <row r="6" spans="1:8" ht="17.25" thickBot="1" x14ac:dyDescent="0.3">
      <c r="A6" s="1100" t="s">
        <v>893</v>
      </c>
      <c r="B6" s="1096" t="s">
        <v>894</v>
      </c>
      <c r="C6" s="1096" t="s">
        <v>16</v>
      </c>
      <c r="D6" s="1097" t="s">
        <v>16</v>
      </c>
      <c r="E6" s="1096" t="s">
        <v>891</v>
      </c>
      <c r="F6" s="739">
        <v>630</v>
      </c>
      <c r="G6" s="1095">
        <v>400</v>
      </c>
      <c r="H6" s="1096" t="s">
        <v>892</v>
      </c>
    </row>
    <row r="7" spans="1:8" ht="17.25" thickBot="1" x14ac:dyDescent="0.3">
      <c r="A7" s="1100" t="s">
        <v>895</v>
      </c>
      <c r="B7" s="1096" t="s">
        <v>896</v>
      </c>
      <c r="C7" s="1096" t="s">
        <v>16</v>
      </c>
      <c r="D7" s="1097" t="s">
        <v>16</v>
      </c>
      <c r="E7" s="1096" t="s">
        <v>888</v>
      </c>
      <c r="F7" s="739">
        <v>370</v>
      </c>
      <c r="G7" s="1095"/>
      <c r="H7" s="1096" t="s">
        <v>892</v>
      </c>
    </row>
    <row r="8" spans="1:8" ht="33.75" thickBot="1" x14ac:dyDescent="0.3">
      <c r="A8" s="1100" t="s">
        <v>897</v>
      </c>
      <c r="B8" s="1096" t="s">
        <v>898</v>
      </c>
      <c r="C8" s="1096">
        <v>1</v>
      </c>
      <c r="D8" s="1097" t="s">
        <v>13</v>
      </c>
      <c r="E8" s="1096" t="s">
        <v>891</v>
      </c>
      <c r="F8" s="739">
        <v>1000</v>
      </c>
      <c r="G8" s="1095">
        <v>400</v>
      </c>
      <c r="H8" s="1096" t="s">
        <v>899</v>
      </c>
    </row>
    <row r="9" spans="1:8" ht="33.75" thickBot="1" x14ac:dyDescent="0.3">
      <c r="A9" s="1100" t="s">
        <v>900</v>
      </c>
      <c r="B9" s="1096" t="s">
        <v>901</v>
      </c>
      <c r="C9" s="1096">
        <v>1</v>
      </c>
      <c r="D9" s="1097" t="s">
        <v>13</v>
      </c>
      <c r="E9" s="1096"/>
      <c r="F9" s="739">
        <v>1095</v>
      </c>
      <c r="G9" s="1095" t="s">
        <v>902</v>
      </c>
      <c r="H9" s="1096" t="s">
        <v>892</v>
      </c>
    </row>
    <row r="10" spans="1:8" ht="17.25" thickBot="1" x14ac:dyDescent="0.3">
      <c r="A10" s="1100" t="s">
        <v>903</v>
      </c>
      <c r="B10" s="1096" t="s">
        <v>896</v>
      </c>
      <c r="C10" s="1096" t="s">
        <v>904</v>
      </c>
      <c r="D10" s="1097" t="s">
        <v>904</v>
      </c>
      <c r="E10" s="1096" t="s">
        <v>885</v>
      </c>
      <c r="F10" s="739">
        <v>200</v>
      </c>
      <c r="G10" s="1095"/>
      <c r="H10" s="1096" t="s">
        <v>892</v>
      </c>
    </row>
    <row r="11" spans="1:8" ht="16.5" x14ac:dyDescent="0.25">
      <c r="A11" s="1551" t="s">
        <v>905</v>
      </c>
      <c r="B11" s="1541" t="s">
        <v>896</v>
      </c>
      <c r="C11" s="1541" t="s">
        <v>673</v>
      </c>
      <c r="D11" s="1543" t="s">
        <v>904</v>
      </c>
      <c r="E11" s="1098" t="s">
        <v>885</v>
      </c>
      <c r="F11" s="740">
        <v>280</v>
      </c>
      <c r="G11" s="1549"/>
      <c r="H11" s="1541" t="s">
        <v>892</v>
      </c>
    </row>
    <row r="12" spans="1:8" ht="16.5" x14ac:dyDescent="0.25">
      <c r="A12" s="1552"/>
      <c r="B12" s="1554"/>
      <c r="C12" s="1554"/>
      <c r="D12" s="1555"/>
      <c r="E12" s="1098" t="s">
        <v>888</v>
      </c>
      <c r="F12" s="740">
        <v>330</v>
      </c>
      <c r="G12" s="1556"/>
      <c r="H12" s="1554"/>
    </row>
    <row r="13" spans="1:8" ht="17.25" thickBot="1" x14ac:dyDescent="0.3">
      <c r="A13" s="1553"/>
      <c r="B13" s="1542"/>
      <c r="C13" s="1542"/>
      <c r="D13" s="1544"/>
      <c r="E13" s="1096" t="s">
        <v>891</v>
      </c>
      <c r="F13" s="739">
        <v>380</v>
      </c>
      <c r="G13" s="1550"/>
      <c r="H13" s="1542"/>
    </row>
    <row r="14" spans="1:8" ht="16.5" x14ac:dyDescent="0.25">
      <c r="A14" s="1101" t="s">
        <v>906</v>
      </c>
      <c r="B14" s="1541" t="s">
        <v>896</v>
      </c>
      <c r="C14" s="1541" t="s">
        <v>907</v>
      </c>
      <c r="D14" s="1543" t="s">
        <v>907</v>
      </c>
      <c r="E14" s="1545"/>
      <c r="F14" s="1547">
        <v>70</v>
      </c>
      <c r="G14" s="1541"/>
      <c r="H14" s="1099" t="s">
        <v>908</v>
      </c>
    </row>
    <row r="15" spans="1:8" ht="83.25" thickBot="1" x14ac:dyDescent="0.3">
      <c r="A15" s="1102" t="s">
        <v>1207</v>
      </c>
      <c r="B15" s="1542"/>
      <c r="C15" s="1542"/>
      <c r="D15" s="1544"/>
      <c r="E15" s="1546"/>
      <c r="F15" s="1548"/>
      <c r="G15" s="1542"/>
      <c r="H15" s="1096" t="s">
        <v>909</v>
      </c>
    </row>
    <row r="16" spans="1:8" ht="21.75" thickBot="1" x14ac:dyDescent="0.4">
      <c r="B16" s="1538" t="s">
        <v>910</v>
      </c>
      <c r="C16" s="1539"/>
      <c r="D16" s="1539"/>
      <c r="E16" s="1539"/>
      <c r="F16" s="1540"/>
    </row>
    <row r="17" spans="1:8" ht="50.25" thickBot="1" x14ac:dyDescent="0.3">
      <c r="A17" s="741" t="s">
        <v>911</v>
      </c>
    </row>
    <row r="18" spans="1:8" ht="15.75" thickBot="1" x14ac:dyDescent="0.3"/>
    <row r="19" spans="1:8" ht="47.25" x14ac:dyDescent="0.25">
      <c r="A19" s="742" t="s">
        <v>912</v>
      </c>
      <c r="B19" s="742" t="s">
        <v>913</v>
      </c>
      <c r="C19" s="742" t="s">
        <v>914</v>
      </c>
      <c r="D19" s="743" t="s">
        <v>915</v>
      </c>
      <c r="E19" s="742" t="s">
        <v>916</v>
      </c>
      <c r="G19" s="744" t="s">
        <v>917</v>
      </c>
      <c r="H19" s="745" t="s">
        <v>918</v>
      </c>
    </row>
    <row r="20" spans="1:8" ht="15.75" x14ac:dyDescent="0.25">
      <c r="A20" s="746">
        <v>1</v>
      </c>
      <c r="B20" s="747" t="s">
        <v>919</v>
      </c>
      <c r="C20" s="747" t="s">
        <v>920</v>
      </c>
      <c r="D20" s="748">
        <v>109.12</v>
      </c>
      <c r="E20" s="747" t="s">
        <v>921</v>
      </c>
      <c r="G20" s="749" t="s">
        <v>922</v>
      </c>
      <c r="H20" s="750">
        <v>395.5</v>
      </c>
    </row>
    <row r="21" spans="1:8" ht="15.75" x14ac:dyDescent="0.25">
      <c r="A21" s="746">
        <v>2</v>
      </c>
      <c r="B21" s="747" t="s">
        <v>923</v>
      </c>
      <c r="C21" s="747" t="s">
        <v>924</v>
      </c>
      <c r="D21" s="748">
        <v>88.66</v>
      </c>
      <c r="E21" s="747" t="s">
        <v>921</v>
      </c>
      <c r="G21" s="749" t="s">
        <v>925</v>
      </c>
      <c r="H21" s="750">
        <v>75</v>
      </c>
    </row>
    <row r="22" spans="1:8" ht="15.75" x14ac:dyDescent="0.25">
      <c r="A22" s="746">
        <v>3</v>
      </c>
      <c r="B22" s="747" t="s">
        <v>926</v>
      </c>
      <c r="C22" s="747" t="s">
        <v>927</v>
      </c>
      <c r="D22" s="748">
        <v>109.12</v>
      </c>
      <c r="E22" s="747" t="s">
        <v>921</v>
      </c>
      <c r="G22" s="749" t="s">
        <v>928</v>
      </c>
      <c r="H22" s="750">
        <v>68.2</v>
      </c>
    </row>
    <row r="23" spans="1:8" ht="15.75" x14ac:dyDescent="0.25">
      <c r="A23" s="746">
        <v>4</v>
      </c>
      <c r="B23" s="747" t="s">
        <v>929</v>
      </c>
      <c r="C23" s="747" t="s">
        <v>930</v>
      </c>
      <c r="D23" s="748">
        <v>313.72000000000003</v>
      </c>
      <c r="E23" s="747" t="s">
        <v>921</v>
      </c>
      <c r="G23" s="749" t="s">
        <v>931</v>
      </c>
      <c r="H23" s="750">
        <v>95.48</v>
      </c>
    </row>
    <row r="24" spans="1:8" ht="15.75" x14ac:dyDescent="0.25">
      <c r="A24" s="746">
        <v>5</v>
      </c>
      <c r="B24" s="751" t="s">
        <v>932</v>
      </c>
      <c r="C24" s="751" t="s">
        <v>933</v>
      </c>
      <c r="D24" s="752">
        <v>93</v>
      </c>
      <c r="E24" s="751" t="s">
        <v>934</v>
      </c>
      <c r="G24" s="749" t="s">
        <v>935</v>
      </c>
      <c r="H24" s="750">
        <v>122.76</v>
      </c>
    </row>
    <row r="25" spans="1:8" ht="15.75" x14ac:dyDescent="0.25">
      <c r="A25" s="746">
        <v>9</v>
      </c>
      <c r="B25" s="751" t="s">
        <v>936</v>
      </c>
      <c r="C25" s="751" t="s">
        <v>937</v>
      </c>
      <c r="D25" s="752">
        <v>124</v>
      </c>
      <c r="E25" s="751" t="s">
        <v>934</v>
      </c>
      <c r="G25" s="749" t="s">
        <v>938</v>
      </c>
      <c r="H25" s="750">
        <v>163.68</v>
      </c>
    </row>
    <row r="26" spans="1:8" ht="15.75" x14ac:dyDescent="0.25">
      <c r="A26" s="746">
        <v>11</v>
      </c>
      <c r="B26" s="751" t="s">
        <v>939</v>
      </c>
      <c r="C26" s="751" t="s">
        <v>940</v>
      </c>
      <c r="D26" s="752">
        <v>297.60000000000002</v>
      </c>
      <c r="E26" s="751" t="s">
        <v>934</v>
      </c>
      <c r="G26" s="749" t="s">
        <v>941</v>
      </c>
      <c r="H26" s="750">
        <v>129.58000000000001</v>
      </c>
    </row>
    <row r="27" spans="1:8" ht="15.75" x14ac:dyDescent="0.25">
      <c r="A27" s="746">
        <v>6</v>
      </c>
      <c r="B27" s="751" t="s">
        <v>942</v>
      </c>
      <c r="C27" s="751" t="s">
        <v>943</v>
      </c>
      <c r="D27" s="752">
        <v>143.84</v>
      </c>
      <c r="E27" s="751" t="s">
        <v>934</v>
      </c>
      <c r="G27" s="749" t="s">
        <v>944</v>
      </c>
      <c r="H27" s="750">
        <v>102.3</v>
      </c>
    </row>
    <row r="28" spans="1:8" ht="15.75" x14ac:dyDescent="0.25">
      <c r="A28" s="746">
        <v>7</v>
      </c>
      <c r="B28" s="751" t="s">
        <v>945</v>
      </c>
      <c r="C28" s="751" t="s">
        <v>946</v>
      </c>
      <c r="D28" s="752">
        <v>89.28</v>
      </c>
      <c r="E28" s="751" t="s">
        <v>934</v>
      </c>
      <c r="G28" s="749" t="s">
        <v>947</v>
      </c>
      <c r="H28" s="750">
        <v>95.48</v>
      </c>
    </row>
    <row r="29" spans="1:8" ht="15.75" x14ac:dyDescent="0.25">
      <c r="A29" s="746">
        <v>8</v>
      </c>
      <c r="B29" s="751" t="s">
        <v>948</v>
      </c>
      <c r="C29" s="751" t="s">
        <v>949</v>
      </c>
      <c r="D29" s="752">
        <v>111.6</v>
      </c>
      <c r="E29" s="751" t="s">
        <v>934</v>
      </c>
      <c r="G29" s="749" t="s">
        <v>950</v>
      </c>
      <c r="H29" s="750">
        <v>87.296000000000006</v>
      </c>
    </row>
    <row r="30" spans="1:8" ht="15.75" x14ac:dyDescent="0.25">
      <c r="A30" s="746">
        <v>10</v>
      </c>
      <c r="B30" s="751" t="s">
        <v>951</v>
      </c>
      <c r="C30" s="751" t="s">
        <v>952</v>
      </c>
      <c r="D30" s="752">
        <v>230.64</v>
      </c>
      <c r="E30" s="751" t="s">
        <v>934</v>
      </c>
      <c r="G30" s="749" t="s">
        <v>953</v>
      </c>
      <c r="H30" s="750">
        <v>266.60000000000002</v>
      </c>
    </row>
    <row r="31" spans="1:8" ht="15.75" x14ac:dyDescent="0.25">
      <c r="A31" s="746">
        <v>12</v>
      </c>
      <c r="B31" s="753" t="s">
        <v>954</v>
      </c>
      <c r="C31" s="753" t="s">
        <v>955</v>
      </c>
      <c r="D31" s="752">
        <v>644.79999999999995</v>
      </c>
      <c r="E31" s="751" t="s">
        <v>934</v>
      </c>
      <c r="G31" s="749" t="s">
        <v>956</v>
      </c>
      <c r="H31" s="750">
        <v>260.39999999999998</v>
      </c>
    </row>
    <row r="32" spans="1:8" ht="15.75" x14ac:dyDescent="0.25">
      <c r="A32" s="746">
        <v>13</v>
      </c>
      <c r="B32" s="753" t="s">
        <v>957</v>
      </c>
      <c r="C32" s="753" t="s">
        <v>958</v>
      </c>
      <c r="D32" s="752">
        <v>843.2</v>
      </c>
      <c r="E32" s="751" t="s">
        <v>934</v>
      </c>
      <c r="G32"/>
      <c r="H32"/>
    </row>
    <row r="33" spans="1:8" ht="16.5" thickBot="1" x14ac:dyDescent="0.3">
      <c r="A33" s="746">
        <v>14</v>
      </c>
      <c r="B33" s="753" t="s">
        <v>959</v>
      </c>
      <c r="C33" s="753" t="s">
        <v>960</v>
      </c>
      <c r="D33" s="752">
        <v>644.79999999999995</v>
      </c>
      <c r="E33" s="751" t="s">
        <v>934</v>
      </c>
      <c r="G33"/>
      <c r="H33"/>
    </row>
    <row r="34" spans="1:8" ht="15.75" x14ac:dyDescent="0.25">
      <c r="A34" s="746">
        <v>15</v>
      </c>
      <c r="B34" s="753" t="s">
        <v>961</v>
      </c>
      <c r="C34" s="753" t="s">
        <v>962</v>
      </c>
      <c r="D34" s="752">
        <v>930</v>
      </c>
      <c r="E34" s="751" t="s">
        <v>934</v>
      </c>
      <c r="G34" s="754" t="s">
        <v>963</v>
      </c>
      <c r="H34" s="745" t="s">
        <v>918</v>
      </c>
    </row>
    <row r="35" spans="1:8" ht="15.75" x14ac:dyDescent="0.25">
      <c r="A35" s="746">
        <v>16</v>
      </c>
      <c r="B35" s="753" t="s">
        <v>1243</v>
      </c>
      <c r="C35" s="753" t="s">
        <v>1244</v>
      </c>
      <c r="D35" s="752">
        <v>310</v>
      </c>
      <c r="E35" s="751" t="s">
        <v>934</v>
      </c>
      <c r="G35" s="749" t="s">
        <v>964</v>
      </c>
      <c r="H35" s="750">
        <v>13.516</v>
      </c>
    </row>
    <row r="36" spans="1:8" ht="15.75" x14ac:dyDescent="0.25">
      <c r="A36" s="746">
        <v>17</v>
      </c>
      <c r="B36" s="753" t="s">
        <v>1245</v>
      </c>
      <c r="C36" s="753" t="s">
        <v>1246</v>
      </c>
      <c r="D36" s="752">
        <v>644.79999999999995</v>
      </c>
      <c r="E36" s="751" t="s">
        <v>934</v>
      </c>
      <c r="G36" s="749" t="s">
        <v>965</v>
      </c>
      <c r="H36" s="750">
        <v>4.26</v>
      </c>
    </row>
    <row r="37" spans="1:8" ht="15.75" x14ac:dyDescent="0.25">
      <c r="A37" s="746">
        <v>18</v>
      </c>
      <c r="B37" s="753" t="s">
        <v>1247</v>
      </c>
      <c r="C37" s="753" t="s">
        <v>1248</v>
      </c>
      <c r="D37" s="752">
        <v>843.2</v>
      </c>
      <c r="E37" s="751" t="s">
        <v>934</v>
      </c>
      <c r="G37" s="749" t="s">
        <v>969</v>
      </c>
      <c r="H37" s="750">
        <v>6.82</v>
      </c>
    </row>
    <row r="38" spans="1:8" ht="15.75" x14ac:dyDescent="0.25">
      <c r="A38" s="746">
        <v>19</v>
      </c>
      <c r="B38" s="755" t="s">
        <v>966</v>
      </c>
      <c r="C38" s="755" t="s">
        <v>967</v>
      </c>
      <c r="D38" s="756">
        <v>341</v>
      </c>
      <c r="E38" s="755" t="s">
        <v>968</v>
      </c>
      <c r="G38" s="749" t="s">
        <v>971</v>
      </c>
      <c r="H38" s="750">
        <v>5.1840000000000002</v>
      </c>
    </row>
    <row r="39" spans="1:8" ht="15.75" x14ac:dyDescent="0.25">
      <c r="A39" s="746">
        <v>20</v>
      </c>
      <c r="B39" s="755" t="s">
        <v>966</v>
      </c>
      <c r="C39" s="755" t="s">
        <v>970</v>
      </c>
      <c r="D39" s="756">
        <v>341</v>
      </c>
      <c r="E39" s="755" t="s">
        <v>968</v>
      </c>
      <c r="G39" s="749" t="s">
        <v>974</v>
      </c>
      <c r="H39" s="750">
        <v>11.593999999999999</v>
      </c>
    </row>
    <row r="40" spans="1:8" ht="15.75" x14ac:dyDescent="0.25">
      <c r="A40" s="746">
        <v>21</v>
      </c>
      <c r="B40" s="755" t="s">
        <v>972</v>
      </c>
      <c r="C40" s="755" t="s">
        <v>973</v>
      </c>
      <c r="D40" s="756">
        <v>531.96</v>
      </c>
      <c r="E40" s="755" t="s">
        <v>968</v>
      </c>
      <c r="G40" s="749" t="s">
        <v>976</v>
      </c>
      <c r="H40" s="750">
        <v>15.62</v>
      </c>
    </row>
    <row r="41" spans="1:8" ht="15.75" x14ac:dyDescent="0.25">
      <c r="A41" s="746">
        <v>22</v>
      </c>
      <c r="B41" s="755" t="s">
        <v>972</v>
      </c>
      <c r="C41" s="755" t="s">
        <v>975</v>
      </c>
      <c r="D41" s="756">
        <v>531.96</v>
      </c>
      <c r="E41" s="755" t="s">
        <v>968</v>
      </c>
      <c r="G41" s="749" t="s">
        <v>979</v>
      </c>
      <c r="H41" s="750">
        <v>19.716000000000001</v>
      </c>
    </row>
    <row r="42" spans="1:8" ht="15.75" x14ac:dyDescent="0.25">
      <c r="A42" s="746">
        <v>23</v>
      </c>
      <c r="B42" s="757">
        <v>601040</v>
      </c>
      <c r="C42" s="757" t="s">
        <v>977</v>
      </c>
      <c r="D42" s="758">
        <v>150</v>
      </c>
      <c r="E42" s="757" t="s">
        <v>978</v>
      </c>
      <c r="G42" s="749" t="s">
        <v>982</v>
      </c>
      <c r="H42" s="750">
        <v>16.739999999999998</v>
      </c>
    </row>
    <row r="43" spans="1:8" ht="15.75" x14ac:dyDescent="0.25">
      <c r="A43" s="746">
        <v>24</v>
      </c>
      <c r="B43" s="757" t="s">
        <v>980</v>
      </c>
      <c r="C43" s="757" t="s">
        <v>981</v>
      </c>
      <c r="D43" s="758">
        <v>177.32</v>
      </c>
      <c r="E43" s="757" t="s">
        <v>978</v>
      </c>
      <c r="G43" s="749" t="s">
        <v>985</v>
      </c>
      <c r="H43" s="750">
        <v>30</v>
      </c>
    </row>
    <row r="44" spans="1:8" ht="15.75" x14ac:dyDescent="0.25">
      <c r="A44" s="746">
        <v>25</v>
      </c>
      <c r="B44" s="757" t="s">
        <v>983</v>
      </c>
      <c r="C44" s="757" t="s">
        <v>984</v>
      </c>
      <c r="D44" s="758">
        <v>477.4</v>
      </c>
      <c r="E44" s="757" t="s">
        <v>978</v>
      </c>
    </row>
    <row r="45" spans="1:8" ht="15.75" x14ac:dyDescent="0.25">
      <c r="A45" s="746">
        <v>26</v>
      </c>
      <c r="B45" s="757">
        <v>601014</v>
      </c>
      <c r="C45" s="759" t="s">
        <v>986</v>
      </c>
      <c r="D45" s="760">
        <v>682</v>
      </c>
      <c r="E45" s="757" t="s">
        <v>978</v>
      </c>
    </row>
    <row r="46" spans="1:8" ht="15.75" x14ac:dyDescent="0.25">
      <c r="A46" s="746">
        <v>27</v>
      </c>
      <c r="B46" s="757">
        <v>57233</v>
      </c>
      <c r="C46" s="759" t="s">
        <v>987</v>
      </c>
      <c r="D46" s="760">
        <v>245.52</v>
      </c>
      <c r="E46" s="757" t="s">
        <v>978</v>
      </c>
    </row>
    <row r="47" spans="1:8" ht="15.75" x14ac:dyDescent="0.25">
      <c r="A47" s="746">
        <v>28</v>
      </c>
      <c r="B47" s="761" t="s">
        <v>988</v>
      </c>
      <c r="C47" s="762" t="s">
        <v>989</v>
      </c>
      <c r="D47" s="763">
        <v>136.4</v>
      </c>
      <c r="E47" s="762" t="s">
        <v>990</v>
      </c>
    </row>
    <row r="48" spans="1:8" ht="15.75" x14ac:dyDescent="0.25">
      <c r="A48" s="746">
        <v>29</v>
      </c>
      <c r="B48" s="764" t="s">
        <v>991</v>
      </c>
      <c r="C48" s="762" t="s">
        <v>992</v>
      </c>
      <c r="D48" s="763">
        <v>260.39999999999998</v>
      </c>
      <c r="E48" s="762" t="s">
        <v>990</v>
      </c>
    </row>
    <row r="49" spans="1:5" ht="15.75" x14ac:dyDescent="0.25">
      <c r="A49" s="746">
        <v>30</v>
      </c>
      <c r="B49" s="766"/>
      <c r="C49" s="766" t="s">
        <v>993</v>
      </c>
      <c r="D49" s="767">
        <v>113.9</v>
      </c>
      <c r="E49" s="765" t="s">
        <v>994</v>
      </c>
    </row>
  </sheetData>
  <mergeCells count="21">
    <mergeCell ref="G14:G15"/>
    <mergeCell ref="G4:G5"/>
    <mergeCell ref="H4:H5"/>
    <mergeCell ref="A11:A13"/>
    <mergeCell ref="B11:B13"/>
    <mergeCell ref="C11:C13"/>
    <mergeCell ref="D11:D13"/>
    <mergeCell ref="G11:G13"/>
    <mergeCell ref="H11:H13"/>
    <mergeCell ref="A4:A5"/>
    <mergeCell ref="B4:B5"/>
    <mergeCell ref="C4:C5"/>
    <mergeCell ref="D4:D5"/>
    <mergeCell ref="E4:E5"/>
    <mergeCell ref="F4:F5"/>
    <mergeCell ref="B16:F16"/>
    <mergeCell ref="B14:B15"/>
    <mergeCell ref="C14:C15"/>
    <mergeCell ref="D14:D15"/>
    <mergeCell ref="E14:E15"/>
    <mergeCell ref="F14:F1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F6FD-5364-4064-8305-476E2F4D2FF1}">
  <dimension ref="A1:M40"/>
  <sheetViews>
    <sheetView workbookViewId="0">
      <selection activeCell="A6" sqref="A6:XFD6"/>
    </sheetView>
  </sheetViews>
  <sheetFormatPr defaultColWidth="9.140625" defaultRowHeight="18" x14ac:dyDescent="0.35"/>
  <cols>
    <col min="1" max="1" width="68.42578125" style="62" customWidth="1"/>
    <col min="2" max="2" width="15" style="62" customWidth="1"/>
    <col min="3" max="4" width="14.42578125" style="62" customWidth="1"/>
    <col min="5" max="9" width="13.85546875" style="62" customWidth="1"/>
    <col min="10" max="10" width="17" style="62" customWidth="1"/>
    <col min="11" max="11" width="16.28515625" style="62" customWidth="1"/>
    <col min="12" max="12" width="16.140625" style="62" customWidth="1"/>
    <col min="13" max="13" width="15.7109375" style="62" customWidth="1"/>
    <col min="14" max="16384" width="9.140625" style="62"/>
  </cols>
  <sheetData>
    <row r="1" spans="1:13" ht="18.75" thickBot="1" x14ac:dyDescent="0.4">
      <c r="A1" s="1571" t="s">
        <v>995</v>
      </c>
      <c r="B1" s="1572"/>
      <c r="C1" s="1572"/>
      <c r="D1" s="1572"/>
      <c r="E1" s="1572"/>
      <c r="F1" s="1572"/>
      <c r="G1" s="1572"/>
      <c r="H1" s="1572"/>
      <c r="I1" s="1572"/>
      <c r="J1" s="1572"/>
      <c r="K1" s="1572"/>
      <c r="L1" s="1572"/>
      <c r="M1" s="1572"/>
    </row>
    <row r="2" spans="1:13" ht="19.5" x14ac:dyDescent="0.35">
      <c r="A2" s="1573" t="s">
        <v>2</v>
      </c>
      <c r="B2" s="1574" t="s">
        <v>280</v>
      </c>
      <c r="C2" s="1576" t="s">
        <v>16</v>
      </c>
      <c r="D2" s="1577"/>
      <c r="E2" s="1578" t="s">
        <v>363</v>
      </c>
      <c r="F2" s="1579"/>
      <c r="G2" s="1578" t="s">
        <v>79</v>
      </c>
      <c r="H2" s="1579"/>
      <c r="I2" s="1578" t="s">
        <v>80</v>
      </c>
      <c r="J2" s="1579"/>
      <c r="K2" s="1578" t="s">
        <v>81</v>
      </c>
      <c r="L2" s="1580"/>
      <c r="M2" s="1574" t="s">
        <v>996</v>
      </c>
    </row>
    <row r="3" spans="1:13" ht="60" customHeight="1" thickBot="1" x14ac:dyDescent="0.4">
      <c r="A3" s="1433"/>
      <c r="B3" s="1575"/>
      <c r="C3" s="1074"/>
      <c r="D3" s="1075" t="s">
        <v>366</v>
      </c>
      <c r="E3" s="1074"/>
      <c r="F3" s="1076" t="s">
        <v>366</v>
      </c>
      <c r="G3" s="1074"/>
      <c r="H3" s="1076" t="s">
        <v>366</v>
      </c>
      <c r="I3" s="1074"/>
      <c r="J3" s="1076" t="s">
        <v>366</v>
      </c>
      <c r="K3" s="1074"/>
      <c r="L3" s="1075" t="s">
        <v>366</v>
      </c>
      <c r="M3" s="1575"/>
    </row>
    <row r="4" spans="1:13" x14ac:dyDescent="0.35">
      <c r="A4" s="768" t="s">
        <v>997</v>
      </c>
      <c r="B4" s="769">
        <v>2</v>
      </c>
      <c r="C4" s="770">
        <v>750</v>
      </c>
      <c r="D4" s="770">
        <v>930</v>
      </c>
      <c r="E4" s="771">
        <v>1000</v>
      </c>
      <c r="F4" s="771">
        <v>1240</v>
      </c>
      <c r="G4" s="772">
        <v>1150</v>
      </c>
      <c r="H4" s="773">
        <v>1426</v>
      </c>
      <c r="I4" s="773">
        <v>1350</v>
      </c>
      <c r="J4" s="773">
        <v>1674</v>
      </c>
      <c r="K4" s="773">
        <v>1450</v>
      </c>
      <c r="L4" s="773"/>
      <c r="M4" s="774">
        <v>85</v>
      </c>
    </row>
    <row r="5" spans="1:13" x14ac:dyDescent="0.35">
      <c r="A5" s="775" t="s">
        <v>998</v>
      </c>
      <c r="B5" s="174">
        <v>2</v>
      </c>
      <c r="C5" s="776">
        <v>690</v>
      </c>
      <c r="D5" s="776">
        <v>855.6</v>
      </c>
      <c r="E5" s="777">
        <v>940</v>
      </c>
      <c r="F5" s="777">
        <v>1165.5999999999999</v>
      </c>
      <c r="G5" s="778">
        <v>1090</v>
      </c>
      <c r="H5" s="779">
        <v>1351.6</v>
      </c>
      <c r="I5" s="779">
        <v>1290</v>
      </c>
      <c r="J5" s="779">
        <v>1599.6</v>
      </c>
      <c r="K5" s="779">
        <v>1390</v>
      </c>
      <c r="L5" s="779"/>
      <c r="M5" s="780">
        <v>30</v>
      </c>
    </row>
    <row r="6" spans="1:13" x14ac:dyDescent="0.35">
      <c r="A6" s="775" t="s">
        <v>999</v>
      </c>
      <c r="B6" s="174">
        <v>2</v>
      </c>
      <c r="C6" s="776">
        <v>616.5</v>
      </c>
      <c r="D6" s="776">
        <v>764.46</v>
      </c>
      <c r="E6" s="777">
        <v>856.5</v>
      </c>
      <c r="F6" s="777">
        <v>1062.06</v>
      </c>
      <c r="G6" s="778">
        <v>1006.5</v>
      </c>
      <c r="H6" s="779">
        <v>1248.06</v>
      </c>
      <c r="I6" s="779">
        <v>1206.5</v>
      </c>
      <c r="J6" s="779">
        <v>1496.06</v>
      </c>
      <c r="K6" s="779">
        <v>1306.5</v>
      </c>
      <c r="L6" s="779"/>
      <c r="M6" s="780">
        <v>25</v>
      </c>
    </row>
    <row r="7" spans="1:13" ht="18.75" thickBot="1" x14ac:dyDescent="0.4">
      <c r="A7" s="781" t="s">
        <v>1000</v>
      </c>
      <c r="B7" s="782">
        <v>1</v>
      </c>
      <c r="C7" s="783">
        <v>460</v>
      </c>
      <c r="D7" s="783">
        <v>570.4</v>
      </c>
      <c r="E7" s="784">
        <v>710</v>
      </c>
      <c r="F7" s="784">
        <v>880.4</v>
      </c>
      <c r="G7" s="785">
        <v>860</v>
      </c>
      <c r="H7" s="786">
        <v>1066.4000000000001</v>
      </c>
      <c r="I7" s="786">
        <v>1060</v>
      </c>
      <c r="J7" s="786">
        <v>1314.4</v>
      </c>
      <c r="K7" s="786">
        <v>1160</v>
      </c>
      <c r="L7" s="786"/>
      <c r="M7" s="787">
        <v>10</v>
      </c>
    </row>
    <row r="8" spans="1:13" x14ac:dyDescent="0.35">
      <c r="A8" s="1563" t="s">
        <v>1001</v>
      </c>
      <c r="B8" s="769">
        <v>2</v>
      </c>
      <c r="C8" s="770">
        <v>567.80000000000007</v>
      </c>
      <c r="D8" s="770">
        <v>704.07200000000012</v>
      </c>
      <c r="E8" s="771">
        <v>785.80000000000007</v>
      </c>
      <c r="F8" s="771">
        <v>974.39200000000005</v>
      </c>
      <c r="G8" s="772">
        <v>935.80000000000007</v>
      </c>
      <c r="H8" s="773">
        <v>1160.3920000000001</v>
      </c>
      <c r="I8" s="773">
        <v>1135.8000000000002</v>
      </c>
      <c r="J8" s="773">
        <v>1408.3920000000003</v>
      </c>
      <c r="K8" s="773">
        <v>1235.8000000000002</v>
      </c>
      <c r="L8" s="773">
        <v>1532.3920000000003</v>
      </c>
      <c r="M8" s="774">
        <v>80</v>
      </c>
    </row>
    <row r="9" spans="1:13" x14ac:dyDescent="0.35">
      <c r="A9" s="1564"/>
      <c r="B9" s="174">
        <v>3</v>
      </c>
      <c r="C9" s="776">
        <v>683.40000000000009</v>
      </c>
      <c r="D9" s="776">
        <v>847.41600000000005</v>
      </c>
      <c r="E9" s="777">
        <v>901.40000000000009</v>
      </c>
      <c r="F9" s="777">
        <v>1117.7360000000001</v>
      </c>
      <c r="G9" s="778">
        <v>1051.4000000000001</v>
      </c>
      <c r="H9" s="779">
        <v>1303.7360000000001</v>
      </c>
      <c r="I9" s="779">
        <v>1251.4000000000001</v>
      </c>
      <c r="J9" s="779">
        <v>1551.7360000000001</v>
      </c>
      <c r="K9" s="779">
        <v>1351.4</v>
      </c>
      <c r="L9" s="779">
        <v>1675.7360000000001</v>
      </c>
      <c r="M9" s="780">
        <v>80</v>
      </c>
    </row>
    <row r="10" spans="1:13" ht="18.75" thickBot="1" x14ac:dyDescent="0.4">
      <c r="A10" s="1565"/>
      <c r="B10" s="788">
        <v>4</v>
      </c>
      <c r="C10" s="789">
        <v>799.00000000000011</v>
      </c>
      <c r="D10" s="789">
        <v>990.7600000000001</v>
      </c>
      <c r="E10" s="790">
        <v>1017.0000000000001</v>
      </c>
      <c r="F10" s="790">
        <v>1261.0800000000002</v>
      </c>
      <c r="G10" s="791">
        <v>1167</v>
      </c>
      <c r="H10" s="792">
        <v>1447.08</v>
      </c>
      <c r="I10" s="792">
        <v>1367</v>
      </c>
      <c r="J10" s="792">
        <v>1695.08</v>
      </c>
      <c r="K10" s="792">
        <v>1467</v>
      </c>
      <c r="L10" s="792">
        <v>1819.08</v>
      </c>
      <c r="M10" s="793">
        <v>80</v>
      </c>
    </row>
    <row r="11" spans="1:13" x14ac:dyDescent="0.35">
      <c r="A11" s="1566" t="s">
        <v>1002</v>
      </c>
      <c r="B11" s="769">
        <v>1</v>
      </c>
      <c r="C11" s="770">
        <v>354.90000000000003</v>
      </c>
      <c r="D11" s="770">
        <v>440.07600000000002</v>
      </c>
      <c r="E11" s="771">
        <v>539.5</v>
      </c>
      <c r="F11" s="771">
        <v>668.98</v>
      </c>
      <c r="G11" s="772">
        <v>689.5</v>
      </c>
      <c r="H11" s="773">
        <v>854.98</v>
      </c>
      <c r="I11" s="773">
        <v>889.5</v>
      </c>
      <c r="J11" s="773">
        <v>1102.98</v>
      </c>
      <c r="K11" s="773">
        <v>989.5</v>
      </c>
      <c r="L11" s="773">
        <v>1226.98</v>
      </c>
      <c r="M11" s="774">
        <v>20</v>
      </c>
    </row>
    <row r="12" spans="1:13" x14ac:dyDescent="0.35">
      <c r="A12" s="1567"/>
      <c r="B12" s="174">
        <v>2</v>
      </c>
      <c r="C12" s="776">
        <v>465.40000000000003</v>
      </c>
      <c r="D12" s="776">
        <v>577.096</v>
      </c>
      <c r="E12" s="777">
        <v>667</v>
      </c>
      <c r="F12" s="777">
        <v>827.08</v>
      </c>
      <c r="G12" s="778">
        <v>817</v>
      </c>
      <c r="H12" s="779">
        <v>1013.08</v>
      </c>
      <c r="I12" s="779">
        <v>1017</v>
      </c>
      <c r="J12" s="779">
        <v>1261.08</v>
      </c>
      <c r="K12" s="779">
        <v>1117</v>
      </c>
      <c r="L12" s="779">
        <v>1385.08</v>
      </c>
      <c r="M12" s="780">
        <v>20</v>
      </c>
    </row>
    <row r="13" spans="1:13" x14ac:dyDescent="0.35">
      <c r="A13" s="1567"/>
      <c r="B13" s="174">
        <v>3</v>
      </c>
      <c r="C13" s="776">
        <v>575.9</v>
      </c>
      <c r="D13" s="776">
        <v>714.11599999999999</v>
      </c>
      <c r="E13" s="777">
        <v>745.19999999999993</v>
      </c>
      <c r="F13" s="777">
        <v>924.04799999999989</v>
      </c>
      <c r="G13" s="778">
        <v>895.19999999999993</v>
      </c>
      <c r="H13" s="779">
        <v>1110.048</v>
      </c>
      <c r="I13" s="779">
        <v>1095.1999999999998</v>
      </c>
      <c r="J13" s="779">
        <v>1358.0479999999998</v>
      </c>
      <c r="K13" s="779">
        <v>1195.1999999999998</v>
      </c>
      <c r="L13" s="779">
        <v>1482.0479999999998</v>
      </c>
      <c r="M13" s="780">
        <v>20</v>
      </c>
    </row>
    <row r="14" spans="1:13" ht="18.75" thickBot="1" x14ac:dyDescent="0.4">
      <c r="A14" s="1568"/>
      <c r="B14" s="788">
        <v>4</v>
      </c>
      <c r="C14" s="789">
        <v>686.4</v>
      </c>
      <c r="D14" s="789">
        <v>851.13599999999997</v>
      </c>
      <c r="E14" s="790">
        <v>806.4</v>
      </c>
      <c r="F14" s="790">
        <v>999.93599999999992</v>
      </c>
      <c r="G14" s="791">
        <v>956.4</v>
      </c>
      <c r="H14" s="792">
        <v>1185.9359999999999</v>
      </c>
      <c r="I14" s="792">
        <v>1156.4000000000001</v>
      </c>
      <c r="J14" s="792">
        <v>1433.9360000000001</v>
      </c>
      <c r="K14" s="792">
        <v>1256.4000000000001</v>
      </c>
      <c r="L14" s="792">
        <v>1557.9360000000001</v>
      </c>
      <c r="M14" s="793">
        <v>20</v>
      </c>
    </row>
    <row r="15" spans="1:13" x14ac:dyDescent="0.35">
      <c r="A15" s="1566" t="s">
        <v>1003</v>
      </c>
      <c r="B15" s="769">
        <v>0.5</v>
      </c>
      <c r="C15" s="770">
        <v>342.90000000000003</v>
      </c>
      <c r="D15" s="770">
        <v>425.19600000000003</v>
      </c>
      <c r="E15" s="771"/>
      <c r="F15" s="771"/>
      <c r="G15" s="772"/>
      <c r="H15" s="773"/>
      <c r="I15" s="773"/>
      <c r="J15" s="773"/>
      <c r="K15" s="773"/>
      <c r="L15" s="773"/>
      <c r="M15" s="774">
        <v>20</v>
      </c>
    </row>
    <row r="16" spans="1:13" x14ac:dyDescent="0.35">
      <c r="A16" s="1567"/>
      <c r="B16" s="174">
        <v>1</v>
      </c>
      <c r="C16" s="776">
        <v>419.40000000000003</v>
      </c>
      <c r="D16" s="776">
        <v>520.05600000000004</v>
      </c>
      <c r="E16" s="777"/>
      <c r="F16" s="777"/>
      <c r="G16" s="778"/>
      <c r="H16" s="779"/>
      <c r="I16" s="779"/>
      <c r="J16" s="779"/>
      <c r="K16" s="779"/>
      <c r="L16" s="779"/>
      <c r="M16" s="780">
        <v>20</v>
      </c>
    </row>
    <row r="17" spans="1:13" ht="18.75" thickBot="1" x14ac:dyDescent="0.4">
      <c r="A17" s="1568"/>
      <c r="B17" s="788">
        <v>2</v>
      </c>
      <c r="C17" s="789">
        <v>572.4</v>
      </c>
      <c r="D17" s="789">
        <v>709.77599999999995</v>
      </c>
      <c r="E17" s="790"/>
      <c r="F17" s="790"/>
      <c r="G17" s="791"/>
      <c r="H17" s="792"/>
      <c r="I17" s="792"/>
      <c r="J17" s="792"/>
      <c r="K17" s="792"/>
      <c r="L17" s="792"/>
      <c r="M17" s="793">
        <v>20</v>
      </c>
    </row>
    <row r="18" spans="1:13" x14ac:dyDescent="0.35">
      <c r="A18" s="794" t="s">
        <v>1004</v>
      </c>
      <c r="B18" s="795">
        <v>3</v>
      </c>
      <c r="C18" s="796">
        <v>739.64</v>
      </c>
      <c r="D18" s="796">
        <v>917.15359999999998</v>
      </c>
      <c r="E18" s="797">
        <v>951.6</v>
      </c>
      <c r="F18" s="797">
        <v>1179.9839999999999</v>
      </c>
      <c r="G18" s="798">
        <v>1101.5999999999999</v>
      </c>
      <c r="H18" s="799">
        <v>1365.9839999999999</v>
      </c>
      <c r="I18" s="799">
        <v>1301.5999999999999</v>
      </c>
      <c r="J18" s="799">
        <v>1613.9839999999999</v>
      </c>
      <c r="K18" s="799">
        <v>1401.6</v>
      </c>
      <c r="L18" s="799">
        <v>1737.9839999999999</v>
      </c>
      <c r="M18" s="800">
        <v>60</v>
      </c>
    </row>
    <row r="19" spans="1:13" ht="18.75" thickBot="1" x14ac:dyDescent="0.4">
      <c r="A19" s="781" t="s">
        <v>1005</v>
      </c>
      <c r="B19" s="782">
        <v>4</v>
      </c>
      <c r="C19" s="783">
        <v>834</v>
      </c>
      <c r="D19" s="783">
        <v>1034.1600000000001</v>
      </c>
      <c r="E19" s="784">
        <v>1022.64</v>
      </c>
      <c r="F19" s="784">
        <v>1268.0735999999999</v>
      </c>
      <c r="G19" s="785">
        <v>1172.6399999999999</v>
      </c>
      <c r="H19" s="786">
        <v>1454.0735999999999</v>
      </c>
      <c r="I19" s="786">
        <v>1372.6399999999999</v>
      </c>
      <c r="J19" s="786">
        <v>1702.0735999999999</v>
      </c>
      <c r="K19" s="786">
        <v>1472.6399999999999</v>
      </c>
      <c r="L19" s="786">
        <v>1826.0735999999999</v>
      </c>
      <c r="M19" s="787">
        <v>100</v>
      </c>
    </row>
    <row r="20" spans="1:13" x14ac:dyDescent="0.35">
      <c r="A20" s="1563" t="s">
        <v>1006</v>
      </c>
      <c r="B20" s="769">
        <v>2</v>
      </c>
      <c r="C20" s="770">
        <v>604.80000000000007</v>
      </c>
      <c r="D20" s="770">
        <v>749.95200000000011</v>
      </c>
      <c r="E20" s="771">
        <v>834.80000000000007</v>
      </c>
      <c r="F20" s="771">
        <v>1035.152</v>
      </c>
      <c r="G20" s="772">
        <v>984.80000000000007</v>
      </c>
      <c r="H20" s="773">
        <v>1221.152</v>
      </c>
      <c r="I20" s="773">
        <v>1184.8000000000002</v>
      </c>
      <c r="J20" s="773">
        <v>1469.1520000000003</v>
      </c>
      <c r="K20" s="773">
        <v>1284.8000000000002</v>
      </c>
      <c r="L20" s="773">
        <v>1593.1520000000003</v>
      </c>
      <c r="M20" s="774">
        <v>25</v>
      </c>
    </row>
    <row r="21" spans="1:13" x14ac:dyDescent="0.35">
      <c r="A21" s="1564"/>
      <c r="B21" s="174">
        <v>3</v>
      </c>
      <c r="C21" s="776">
        <v>740.80000000000007</v>
      </c>
      <c r="D21" s="776">
        <v>918.5920000000001</v>
      </c>
      <c r="E21" s="777">
        <v>970.80000000000007</v>
      </c>
      <c r="F21" s="777">
        <v>1203.7920000000001</v>
      </c>
      <c r="G21" s="778">
        <v>1120.8000000000002</v>
      </c>
      <c r="H21" s="779">
        <v>1389.7920000000001</v>
      </c>
      <c r="I21" s="779">
        <v>1320.8000000000002</v>
      </c>
      <c r="J21" s="779">
        <v>1637.7920000000001</v>
      </c>
      <c r="K21" s="779">
        <v>1420.8000000000002</v>
      </c>
      <c r="L21" s="779">
        <v>1761.7920000000001</v>
      </c>
      <c r="M21" s="780">
        <v>25</v>
      </c>
    </row>
    <row r="22" spans="1:13" x14ac:dyDescent="0.35">
      <c r="A22" s="1564"/>
      <c r="B22" s="174">
        <v>4</v>
      </c>
      <c r="C22" s="776">
        <v>876.80000000000007</v>
      </c>
      <c r="D22" s="776">
        <v>1087.232</v>
      </c>
      <c r="E22" s="777">
        <v>1106.8000000000002</v>
      </c>
      <c r="F22" s="777">
        <v>1372.4320000000002</v>
      </c>
      <c r="G22" s="778">
        <v>1256.8000000000002</v>
      </c>
      <c r="H22" s="779">
        <v>1558.4320000000002</v>
      </c>
      <c r="I22" s="779">
        <v>1456.8000000000002</v>
      </c>
      <c r="J22" s="779">
        <v>1806.4320000000002</v>
      </c>
      <c r="K22" s="779">
        <v>1556.8000000000002</v>
      </c>
      <c r="L22" s="779">
        <v>1930.4320000000002</v>
      </c>
      <c r="M22" s="780">
        <v>25</v>
      </c>
    </row>
    <row r="23" spans="1:13" ht="18.75" thickBot="1" x14ac:dyDescent="0.4">
      <c r="A23" s="1565"/>
      <c r="B23" s="788">
        <v>5</v>
      </c>
      <c r="C23" s="789">
        <v>1012.8000000000001</v>
      </c>
      <c r="D23" s="789">
        <v>1255.8720000000001</v>
      </c>
      <c r="E23" s="790">
        <v>1242.8</v>
      </c>
      <c r="F23" s="790">
        <v>1541.0719999999999</v>
      </c>
      <c r="G23" s="791">
        <v>1392.8</v>
      </c>
      <c r="H23" s="792">
        <v>1727.0719999999999</v>
      </c>
      <c r="I23" s="792">
        <v>1592.8</v>
      </c>
      <c r="J23" s="792">
        <v>1975.0719999999999</v>
      </c>
      <c r="K23" s="792">
        <v>1692.8</v>
      </c>
      <c r="L23" s="792">
        <v>2099.0720000000001</v>
      </c>
      <c r="M23" s="793">
        <v>25</v>
      </c>
    </row>
    <row r="24" spans="1:13" ht="18.75" thickBot="1" x14ac:dyDescent="0.4">
      <c r="A24" s="801" t="s">
        <v>1007</v>
      </c>
      <c r="B24" s="802">
        <v>1</v>
      </c>
      <c r="C24" s="803">
        <v>510</v>
      </c>
      <c r="D24" s="803">
        <v>632.4</v>
      </c>
      <c r="E24" s="804">
        <v>760</v>
      </c>
      <c r="F24" s="804">
        <v>942.4</v>
      </c>
      <c r="G24" s="805">
        <v>910</v>
      </c>
      <c r="H24" s="806">
        <v>1128.4000000000001</v>
      </c>
      <c r="I24" s="806">
        <v>1110</v>
      </c>
      <c r="J24" s="806">
        <v>1376.4</v>
      </c>
      <c r="K24" s="806">
        <v>1210</v>
      </c>
      <c r="L24" s="806">
        <v>1500.4</v>
      </c>
      <c r="M24" s="807">
        <v>40</v>
      </c>
    </row>
    <row r="25" spans="1:13" ht="18.75" thickBot="1" x14ac:dyDescent="0.4">
      <c r="A25" s="1077" t="s">
        <v>1008</v>
      </c>
      <c r="B25" s="808">
        <v>1</v>
      </c>
      <c r="C25" s="809">
        <v>135</v>
      </c>
      <c r="D25" s="809">
        <v>167.4</v>
      </c>
      <c r="E25" s="810">
        <v>135</v>
      </c>
      <c r="F25" s="810">
        <v>167.4</v>
      </c>
      <c r="G25" s="811">
        <v>135</v>
      </c>
      <c r="H25" s="812">
        <v>167.4</v>
      </c>
      <c r="I25" s="812">
        <v>135</v>
      </c>
      <c r="J25" s="812">
        <v>167.4</v>
      </c>
      <c r="K25" s="812">
        <v>135</v>
      </c>
      <c r="L25" s="812">
        <v>167.4</v>
      </c>
      <c r="M25" s="813"/>
    </row>
    <row r="27" spans="1:13" ht="18.75" thickBot="1" x14ac:dyDescent="0.4"/>
    <row r="28" spans="1:13" ht="72.75" thickBot="1" x14ac:dyDescent="0.4">
      <c r="A28" s="1078"/>
      <c r="B28" s="1079" t="s">
        <v>280</v>
      </c>
      <c r="C28" s="1061" t="s">
        <v>16</v>
      </c>
      <c r="D28" s="1080" t="s">
        <v>892</v>
      </c>
    </row>
    <row r="29" spans="1:13" x14ac:dyDescent="0.35">
      <c r="A29" s="814" t="s">
        <v>1009</v>
      </c>
      <c r="B29" s="815">
        <v>1</v>
      </c>
      <c r="C29" s="816">
        <v>362.09999999999997</v>
      </c>
      <c r="D29" s="817" t="s">
        <v>8</v>
      </c>
    </row>
    <row r="30" spans="1:13" x14ac:dyDescent="0.35">
      <c r="A30" s="818" t="s">
        <v>1009</v>
      </c>
      <c r="B30" s="147">
        <v>0.5</v>
      </c>
      <c r="C30" s="819">
        <v>289.84999999999997</v>
      </c>
      <c r="D30" s="820" t="s">
        <v>8</v>
      </c>
    </row>
    <row r="31" spans="1:13" ht="18.75" thickBot="1" x14ac:dyDescent="0.4">
      <c r="A31" s="821" t="s">
        <v>1009</v>
      </c>
      <c r="B31" s="180">
        <v>0.25</v>
      </c>
      <c r="C31" s="822">
        <v>253.72499999999999</v>
      </c>
      <c r="D31" s="823" t="s">
        <v>8</v>
      </c>
    </row>
    <row r="32" spans="1:13" ht="18.75" thickBot="1" x14ac:dyDescent="0.4">
      <c r="A32" s="824"/>
      <c r="B32" s="825"/>
      <c r="C32" s="826"/>
      <c r="D32" s="827"/>
    </row>
    <row r="33" spans="1:4" ht="19.5" thickBot="1" x14ac:dyDescent="0.4">
      <c r="A33" s="828" t="s">
        <v>85</v>
      </c>
      <c r="B33" s="825"/>
      <c r="C33" s="1569" t="s">
        <v>86</v>
      </c>
      <c r="D33" s="1570"/>
    </row>
    <row r="34" spans="1:4" ht="259.5" customHeight="1" thickBot="1" x14ac:dyDescent="0.4">
      <c r="A34" s="829" t="s">
        <v>1010</v>
      </c>
      <c r="B34" s="825"/>
      <c r="C34" s="1557" t="s">
        <v>1011</v>
      </c>
      <c r="D34" s="1558"/>
    </row>
    <row r="35" spans="1:4" ht="133.5" customHeight="1" thickBot="1" x14ac:dyDescent="0.4">
      <c r="A35" s="829" t="s">
        <v>1012</v>
      </c>
      <c r="B35" s="825"/>
      <c r="C35" s="1557" t="s">
        <v>1013</v>
      </c>
      <c r="D35" s="1558"/>
    </row>
    <row r="36" spans="1:4" ht="36.75" thickBot="1" x14ac:dyDescent="0.4">
      <c r="A36" s="830" t="s">
        <v>1014</v>
      </c>
      <c r="B36" s="825"/>
      <c r="C36" s="1559" t="s">
        <v>1015</v>
      </c>
      <c r="D36" s="1560"/>
    </row>
    <row r="37" spans="1:4" ht="102" customHeight="1" thickBot="1" x14ac:dyDescent="0.4">
      <c r="A37" s="831" t="s">
        <v>1016</v>
      </c>
      <c r="B37" s="825"/>
      <c r="C37" s="1561"/>
      <c r="D37" s="1562"/>
    </row>
    <row r="38" spans="1:4" ht="198.75" thickBot="1" x14ac:dyDescent="0.4">
      <c r="A38" s="830" t="s">
        <v>1017</v>
      </c>
      <c r="B38" s="825"/>
      <c r="C38" s="1557" t="s">
        <v>1018</v>
      </c>
      <c r="D38" s="1558"/>
    </row>
    <row r="39" spans="1:4" ht="72.75" thickBot="1" x14ac:dyDescent="0.4">
      <c r="A39" s="829" t="s">
        <v>1019</v>
      </c>
      <c r="D39" s="61"/>
    </row>
    <row r="40" spans="1:4" ht="108.75" thickBot="1" x14ac:dyDescent="0.4">
      <c r="A40" s="832" t="s">
        <v>1020</v>
      </c>
      <c r="D40" s="61"/>
    </row>
  </sheetData>
  <mergeCells count="18">
    <mergeCell ref="A1:M1"/>
    <mergeCell ref="A2:A3"/>
    <mergeCell ref="B2:B3"/>
    <mergeCell ref="C2:D2"/>
    <mergeCell ref="E2:F2"/>
    <mergeCell ref="G2:H2"/>
    <mergeCell ref="I2:J2"/>
    <mergeCell ref="K2:L2"/>
    <mergeCell ref="M2:M3"/>
    <mergeCell ref="C35:D35"/>
    <mergeCell ref="C36:D37"/>
    <mergeCell ref="C38:D38"/>
    <mergeCell ref="A8:A10"/>
    <mergeCell ref="A11:A14"/>
    <mergeCell ref="A15:A17"/>
    <mergeCell ref="A20:A23"/>
    <mergeCell ref="C33:D33"/>
    <mergeCell ref="C34:D3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B327-EB62-4F3A-9E5D-EB9A0701F270}">
  <dimension ref="A1:I14"/>
  <sheetViews>
    <sheetView topLeftCell="A7" workbookViewId="0">
      <selection activeCell="A10" sqref="A10:XFD10"/>
    </sheetView>
  </sheetViews>
  <sheetFormatPr defaultRowHeight="15" x14ac:dyDescent="0.25"/>
  <cols>
    <col min="1" max="1" width="5" bestFit="1" customWidth="1"/>
    <col min="2" max="2" width="30" bestFit="1" customWidth="1"/>
    <col min="3" max="3" width="10.42578125" customWidth="1"/>
    <col min="5" max="5" width="15.85546875" customWidth="1"/>
    <col min="6" max="6" width="20.85546875" customWidth="1"/>
    <col min="7" max="7" width="18.7109375" customWidth="1"/>
    <col min="8" max="8" width="16.28515625" customWidth="1"/>
    <col min="9" max="9" width="93.42578125" bestFit="1" customWidth="1"/>
  </cols>
  <sheetData>
    <row r="1" spans="1:9" ht="49.5" x14ac:dyDescent="0.3">
      <c r="A1" s="1103" t="s">
        <v>1</v>
      </c>
      <c r="B1" s="1103" t="s">
        <v>2</v>
      </c>
      <c r="C1" s="1103" t="s">
        <v>107</v>
      </c>
      <c r="D1" s="1103" t="s">
        <v>3</v>
      </c>
      <c r="E1" s="1103" t="s">
        <v>1021</v>
      </c>
      <c r="F1" s="1103" t="s">
        <v>1022</v>
      </c>
      <c r="G1" s="1103" t="s">
        <v>881</v>
      </c>
      <c r="H1" s="1103" t="s">
        <v>882</v>
      </c>
      <c r="I1" s="1103" t="s">
        <v>1023</v>
      </c>
    </row>
    <row r="2" spans="1:9" ht="49.5" x14ac:dyDescent="0.3">
      <c r="A2" s="833">
        <v>1</v>
      </c>
      <c r="B2" s="834" t="s">
        <v>1024</v>
      </c>
      <c r="C2" s="835" t="s">
        <v>16</v>
      </c>
      <c r="D2" s="835" t="s">
        <v>1025</v>
      </c>
      <c r="E2" s="835">
        <v>30</v>
      </c>
      <c r="F2" s="835"/>
      <c r="G2" s="836">
        <v>380</v>
      </c>
      <c r="H2" s="837">
        <v>285</v>
      </c>
      <c r="I2" s="838" t="s">
        <v>1026</v>
      </c>
    </row>
    <row r="3" spans="1:9" ht="49.5" x14ac:dyDescent="0.3">
      <c r="A3" s="833">
        <v>2</v>
      </c>
      <c r="B3" s="834" t="s">
        <v>1027</v>
      </c>
      <c r="C3" s="835" t="s">
        <v>120</v>
      </c>
      <c r="D3" s="835" t="s">
        <v>1025</v>
      </c>
      <c r="E3" s="835">
        <v>30</v>
      </c>
      <c r="F3" s="835"/>
      <c r="G3" s="836">
        <v>630</v>
      </c>
      <c r="H3" s="837">
        <v>530</v>
      </c>
      <c r="I3" s="838" t="s">
        <v>1026</v>
      </c>
    </row>
    <row r="4" spans="1:9" ht="49.5" x14ac:dyDescent="0.3">
      <c r="A4" s="833">
        <v>3</v>
      </c>
      <c r="B4" s="834" t="s">
        <v>1028</v>
      </c>
      <c r="C4" s="835" t="s">
        <v>16</v>
      </c>
      <c r="D4" s="835" t="s">
        <v>1025</v>
      </c>
      <c r="E4" s="835">
        <v>30</v>
      </c>
      <c r="F4" s="835">
        <v>100</v>
      </c>
      <c r="G4" s="836">
        <v>710</v>
      </c>
      <c r="H4" s="837">
        <v>610</v>
      </c>
      <c r="I4" s="838" t="s">
        <v>1029</v>
      </c>
    </row>
    <row r="5" spans="1:9" ht="49.5" x14ac:dyDescent="0.3">
      <c r="A5" s="833">
        <v>4</v>
      </c>
      <c r="B5" s="834" t="s">
        <v>1030</v>
      </c>
      <c r="C5" s="835" t="s">
        <v>120</v>
      </c>
      <c r="D5" s="835" t="s">
        <v>1025</v>
      </c>
      <c r="E5" s="835">
        <v>30</v>
      </c>
      <c r="F5" s="835">
        <v>100</v>
      </c>
      <c r="G5" s="836">
        <v>955</v>
      </c>
      <c r="H5" s="837">
        <v>860</v>
      </c>
      <c r="I5" s="838" t="s">
        <v>1029</v>
      </c>
    </row>
    <row r="6" spans="1:9" ht="66" x14ac:dyDescent="0.3">
      <c r="A6" s="833">
        <v>5</v>
      </c>
      <c r="B6" s="834" t="s">
        <v>1031</v>
      </c>
      <c r="C6" s="835" t="s">
        <v>16</v>
      </c>
      <c r="D6" s="835" t="s">
        <v>1025</v>
      </c>
      <c r="E6" s="835">
        <v>30</v>
      </c>
      <c r="F6" s="835">
        <v>150</v>
      </c>
      <c r="G6" s="836">
        <v>660</v>
      </c>
      <c r="H6" s="837">
        <v>565</v>
      </c>
      <c r="I6" s="838" t="s">
        <v>1032</v>
      </c>
    </row>
    <row r="7" spans="1:9" ht="66" x14ac:dyDescent="0.3">
      <c r="A7" s="833">
        <v>6</v>
      </c>
      <c r="B7" s="834" t="s">
        <v>1033</v>
      </c>
      <c r="C7" s="835" t="s">
        <v>120</v>
      </c>
      <c r="D7" s="835" t="s">
        <v>1025</v>
      </c>
      <c r="E7" s="835">
        <v>30</v>
      </c>
      <c r="F7" s="835">
        <v>150</v>
      </c>
      <c r="G7" s="836">
        <v>910</v>
      </c>
      <c r="H7" s="837">
        <v>810</v>
      </c>
      <c r="I7" s="838" t="s">
        <v>1034</v>
      </c>
    </row>
    <row r="8" spans="1:9" ht="82.5" x14ac:dyDescent="0.3">
      <c r="A8" s="833">
        <v>7</v>
      </c>
      <c r="B8" s="834" t="s">
        <v>1035</v>
      </c>
      <c r="C8" s="835" t="s">
        <v>16</v>
      </c>
      <c r="D8" s="835" t="s">
        <v>1025</v>
      </c>
      <c r="E8" s="835">
        <v>30</v>
      </c>
      <c r="F8" s="835">
        <v>150</v>
      </c>
      <c r="G8" s="836">
        <v>650</v>
      </c>
      <c r="H8" s="837">
        <v>550</v>
      </c>
      <c r="I8" s="838" t="s">
        <v>1036</v>
      </c>
    </row>
    <row r="9" spans="1:9" ht="82.5" x14ac:dyDescent="0.3">
      <c r="A9" s="833">
        <v>8</v>
      </c>
      <c r="B9" s="834" t="s">
        <v>1037</v>
      </c>
      <c r="C9" s="835" t="s">
        <v>120</v>
      </c>
      <c r="D9" s="835" t="s">
        <v>1025</v>
      </c>
      <c r="E9" s="835">
        <v>30</v>
      </c>
      <c r="F9" s="835">
        <v>150</v>
      </c>
      <c r="G9" s="836">
        <v>900</v>
      </c>
      <c r="H9" s="837">
        <v>800</v>
      </c>
      <c r="I9" s="838" t="s">
        <v>1038</v>
      </c>
    </row>
    <row r="10" spans="1:9" ht="82.5" x14ac:dyDescent="0.3">
      <c r="A10" s="833">
        <v>9</v>
      </c>
      <c r="B10" s="834" t="s">
        <v>1039</v>
      </c>
      <c r="C10" s="835" t="s">
        <v>13</v>
      </c>
      <c r="D10" s="835" t="s">
        <v>1025</v>
      </c>
      <c r="E10" s="835">
        <v>60</v>
      </c>
      <c r="F10" s="835">
        <v>150</v>
      </c>
      <c r="G10" s="836">
        <v>1200</v>
      </c>
      <c r="H10" s="837">
        <v>1000</v>
      </c>
      <c r="I10" s="838" t="s">
        <v>1040</v>
      </c>
    </row>
    <row r="11" spans="1:9" ht="99.75" thickBot="1" x14ac:dyDescent="0.35">
      <c r="A11" s="833">
        <v>10</v>
      </c>
      <c r="B11" s="834" t="s">
        <v>1041</v>
      </c>
      <c r="C11" s="835" t="s">
        <v>13</v>
      </c>
      <c r="D11" s="835" t="s">
        <v>1025</v>
      </c>
      <c r="E11" s="835">
        <v>60</v>
      </c>
      <c r="F11" s="835">
        <v>250</v>
      </c>
      <c r="G11" s="836">
        <v>1265</v>
      </c>
      <c r="H11" s="837">
        <v>1170</v>
      </c>
      <c r="I11" s="838" t="s">
        <v>1042</v>
      </c>
    </row>
    <row r="12" spans="1:9" ht="50.25" thickBot="1" x14ac:dyDescent="0.3">
      <c r="A12" s="839">
        <v>11</v>
      </c>
      <c r="B12" s="840" t="s">
        <v>1043</v>
      </c>
      <c r="C12" s="841" t="s">
        <v>13</v>
      </c>
      <c r="D12" s="841" t="s">
        <v>1025</v>
      </c>
      <c r="E12" s="841">
        <v>120</v>
      </c>
      <c r="F12" s="841">
        <v>250</v>
      </c>
      <c r="G12" s="842">
        <v>1675</v>
      </c>
      <c r="H12" s="843">
        <v>1500</v>
      </c>
      <c r="I12" s="844" t="s">
        <v>1044</v>
      </c>
    </row>
    <row r="13" spans="1:9" ht="15.75" x14ac:dyDescent="0.25">
      <c r="A13" s="1581" t="s">
        <v>1045</v>
      </c>
      <c r="B13" s="1582"/>
      <c r="C13" s="1582"/>
      <c r="D13" s="1582"/>
      <c r="E13" s="1582"/>
      <c r="F13" s="1582"/>
      <c r="G13" s="1582"/>
      <c r="H13" s="1582"/>
      <c r="I13" s="1583"/>
    </row>
    <row r="14" spans="1:9" ht="75.75" customHeight="1" x14ac:dyDescent="0.25">
      <c r="A14" s="1584" t="s">
        <v>1046</v>
      </c>
      <c r="B14" s="1584"/>
      <c r="C14" s="845"/>
      <c r="D14" s="845" t="s">
        <v>81</v>
      </c>
      <c r="E14" s="846">
        <v>850</v>
      </c>
      <c r="F14" s="845"/>
      <c r="G14" s="846">
        <v>850</v>
      </c>
      <c r="H14" s="845"/>
      <c r="I14" s="845" t="s">
        <v>1047</v>
      </c>
    </row>
  </sheetData>
  <mergeCells count="2">
    <mergeCell ref="A13:I13"/>
    <mergeCell ref="A14:B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5FD43-C0F1-446E-902D-040738B71331}">
  <sheetPr>
    <pageSetUpPr fitToPage="1"/>
  </sheetPr>
  <dimension ref="A1:I13"/>
  <sheetViews>
    <sheetView workbookViewId="0">
      <selection activeCell="A3" sqref="A3"/>
    </sheetView>
  </sheetViews>
  <sheetFormatPr defaultColWidth="9.140625" defaultRowHeight="16.5" x14ac:dyDescent="0.3"/>
  <cols>
    <col min="1" max="1" width="69" style="20" customWidth="1"/>
    <col min="2" max="2" width="7.7109375" style="20" customWidth="1"/>
    <col min="3" max="3" width="9.7109375" style="20" customWidth="1"/>
    <col min="4" max="4" width="10.5703125" style="20" hidden="1" customWidth="1"/>
    <col min="5" max="5" width="11.140625" style="20" hidden="1" customWidth="1"/>
    <col min="6" max="6" width="11.140625" style="20" customWidth="1"/>
    <col min="7" max="7" width="15.28515625" style="20" hidden="1" customWidth="1"/>
    <col min="8" max="8" width="15.28515625" style="20" customWidth="1"/>
    <col min="9" max="9" width="8.42578125" style="20" customWidth="1"/>
    <col min="10" max="16384" width="9.140625" style="20"/>
  </cols>
  <sheetData>
    <row r="1" spans="1:9" ht="18.75" thickBot="1" x14ac:dyDescent="0.4">
      <c r="A1" s="1585" t="s">
        <v>512</v>
      </c>
      <c r="B1" s="1585"/>
      <c r="C1" s="1585"/>
      <c r="D1" s="1585"/>
      <c r="E1" s="1585"/>
      <c r="F1" s="1585"/>
      <c r="G1" s="1585"/>
      <c r="H1" s="1585"/>
      <c r="I1" s="1585"/>
    </row>
    <row r="2" spans="1:9" ht="36.75" thickBot="1" x14ac:dyDescent="0.35">
      <c r="A2" s="1145"/>
      <c r="B2" s="682" t="s">
        <v>155</v>
      </c>
      <c r="C2" s="682" t="s">
        <v>1220</v>
      </c>
      <c r="D2" s="682"/>
      <c r="E2" s="682" t="s">
        <v>7</v>
      </c>
      <c r="F2" s="682" t="s">
        <v>109</v>
      </c>
      <c r="G2" s="682"/>
      <c r="H2" s="679" t="s">
        <v>1218</v>
      </c>
      <c r="I2" s="1146" t="s">
        <v>289</v>
      </c>
    </row>
    <row r="3" spans="1:9" ht="36.75" thickBot="1" x14ac:dyDescent="0.35">
      <c r="A3" s="1147" t="s">
        <v>1233</v>
      </c>
      <c r="B3" s="1148" t="s">
        <v>1232</v>
      </c>
      <c r="C3" s="1149" t="s">
        <v>16</v>
      </c>
      <c r="D3" s="1150">
        <v>250</v>
      </c>
      <c r="E3" s="1150">
        <v>180</v>
      </c>
      <c r="F3" s="1151">
        <v>210</v>
      </c>
      <c r="G3" s="1152">
        <v>200</v>
      </c>
      <c r="H3" s="1153"/>
      <c r="I3" s="1154" t="s">
        <v>8</v>
      </c>
    </row>
    <row r="4" spans="1:9" ht="36.75" thickBot="1" x14ac:dyDescent="0.35">
      <c r="A4" s="32" t="s">
        <v>1221</v>
      </c>
      <c r="B4" s="445"/>
      <c r="C4" s="17" t="s">
        <v>1229</v>
      </c>
      <c r="D4" s="1155">
        <v>250</v>
      </c>
      <c r="E4" s="1155">
        <v>180</v>
      </c>
      <c r="F4" s="1151">
        <v>210</v>
      </c>
      <c r="G4" s="1156">
        <v>200</v>
      </c>
      <c r="H4" s="1153"/>
      <c r="I4" s="1157" t="s">
        <v>8</v>
      </c>
    </row>
    <row r="5" spans="1:9" ht="18.75" thickBot="1" x14ac:dyDescent="0.35">
      <c r="A5" s="32" t="s">
        <v>1222</v>
      </c>
      <c r="B5" s="445"/>
      <c r="C5" s="17" t="s">
        <v>1229</v>
      </c>
      <c r="D5" s="1155">
        <v>250</v>
      </c>
      <c r="E5" s="1155">
        <v>180</v>
      </c>
      <c r="F5" s="1151">
        <v>210</v>
      </c>
      <c r="G5" s="1156">
        <v>200</v>
      </c>
      <c r="H5" s="1153"/>
      <c r="I5" s="1157" t="s">
        <v>8</v>
      </c>
    </row>
    <row r="6" spans="1:9" ht="18.75" thickBot="1" x14ac:dyDescent="0.35">
      <c r="A6" s="32" t="s">
        <v>1223</v>
      </c>
      <c r="B6" s="445"/>
      <c r="C6" s="17" t="s">
        <v>1229</v>
      </c>
      <c r="D6" s="1155">
        <v>250</v>
      </c>
      <c r="E6" s="1155">
        <v>180</v>
      </c>
      <c r="F6" s="1151">
        <v>200</v>
      </c>
      <c r="G6" s="1156">
        <v>200</v>
      </c>
      <c r="H6" s="1153"/>
      <c r="I6" s="1157" t="s">
        <v>8</v>
      </c>
    </row>
    <row r="7" spans="1:9" ht="36.75" thickBot="1" x14ac:dyDescent="0.35">
      <c r="A7" s="32" t="s">
        <v>1224</v>
      </c>
      <c r="B7" s="445" t="s">
        <v>1063</v>
      </c>
      <c r="C7" s="17">
        <v>1</v>
      </c>
      <c r="D7" s="1155">
        <v>800</v>
      </c>
      <c r="E7" s="1155">
        <v>550</v>
      </c>
      <c r="F7" s="1151">
        <f>(190+400+100)*1.24</f>
        <v>855.6</v>
      </c>
      <c r="G7" s="1156">
        <v>570</v>
      </c>
      <c r="H7" s="1153">
        <f>G7+G7*0.05</f>
        <v>598.5</v>
      </c>
      <c r="I7" s="1157" t="s">
        <v>8</v>
      </c>
    </row>
    <row r="8" spans="1:9" ht="36.75" thickBot="1" x14ac:dyDescent="0.35">
      <c r="A8" s="32" t="s">
        <v>1225</v>
      </c>
      <c r="B8" s="445" t="s">
        <v>1063</v>
      </c>
      <c r="C8" s="17">
        <v>1</v>
      </c>
      <c r="D8" s="1155">
        <v>620</v>
      </c>
      <c r="E8" s="1155">
        <v>370</v>
      </c>
      <c r="F8" s="1151">
        <f>(190+400+100)*1.24</f>
        <v>855.6</v>
      </c>
      <c r="G8" s="1156">
        <v>385</v>
      </c>
      <c r="H8" s="1153">
        <f>F8-400</f>
        <v>455.6</v>
      </c>
      <c r="I8" s="1157" t="s">
        <v>8</v>
      </c>
    </row>
    <row r="9" spans="1:9" ht="36.75" thickBot="1" x14ac:dyDescent="0.35">
      <c r="A9" s="32" t="s">
        <v>1226</v>
      </c>
      <c r="B9" s="445" t="s">
        <v>212</v>
      </c>
      <c r="C9" s="17">
        <v>1</v>
      </c>
      <c r="D9" s="1155">
        <v>300</v>
      </c>
      <c r="E9" s="1155">
        <v>180</v>
      </c>
      <c r="F9" s="1151">
        <f>(190+400+100)*1.24</f>
        <v>855.6</v>
      </c>
      <c r="G9" s="1156">
        <v>200</v>
      </c>
      <c r="H9" s="1153">
        <v>800</v>
      </c>
      <c r="I9" s="1157" t="s">
        <v>8</v>
      </c>
    </row>
    <row r="10" spans="1:9" ht="18.75" thickBot="1" x14ac:dyDescent="0.35">
      <c r="A10" s="32" t="s">
        <v>1227</v>
      </c>
      <c r="B10" s="445" t="s">
        <v>678</v>
      </c>
      <c r="C10" s="17">
        <v>1</v>
      </c>
      <c r="D10" s="1155">
        <v>860</v>
      </c>
      <c r="E10" s="1155">
        <v>620</v>
      </c>
      <c r="F10" s="1151">
        <f>(190+400+100)*1.24</f>
        <v>855.6</v>
      </c>
      <c r="G10" s="1156">
        <v>650</v>
      </c>
      <c r="H10" s="1153">
        <f>F10-400</f>
        <v>455.6</v>
      </c>
      <c r="I10" s="1157" t="s">
        <v>8</v>
      </c>
    </row>
    <row r="11" spans="1:9" ht="18" x14ac:dyDescent="0.3">
      <c r="A11" s="32" t="s">
        <v>1228</v>
      </c>
      <c r="B11" s="445" t="s">
        <v>678</v>
      </c>
      <c r="C11" s="17">
        <v>1</v>
      </c>
      <c r="D11" s="1155">
        <v>860</v>
      </c>
      <c r="E11" s="1155">
        <v>620</v>
      </c>
      <c r="F11" s="1151">
        <f>(190+400+100)*1.24</f>
        <v>855.6</v>
      </c>
      <c r="G11" s="1156">
        <v>650</v>
      </c>
      <c r="H11" s="1153">
        <f>F11-400</f>
        <v>455.6</v>
      </c>
      <c r="I11" s="1157" t="s">
        <v>8</v>
      </c>
    </row>
    <row r="13" spans="1:9" x14ac:dyDescent="0.3">
      <c r="A13" s="625" t="s">
        <v>691</v>
      </c>
    </row>
  </sheetData>
  <mergeCells count="1">
    <mergeCell ref="A1:I1"/>
  </mergeCells>
  <pageMargins left="0.7" right="0.7" top="0.75" bottom="0.75" header="0.3" footer="0.3"/>
  <pageSetup paperSize="9" orientation="landscape"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1A5B-A08B-403C-A471-1DB1C1B96AB0}">
  <dimension ref="A1:L31"/>
  <sheetViews>
    <sheetView workbookViewId="0">
      <selection activeCell="F16" sqref="F16"/>
    </sheetView>
  </sheetViews>
  <sheetFormatPr defaultColWidth="9.140625" defaultRowHeight="16.5" x14ac:dyDescent="0.3"/>
  <cols>
    <col min="1" max="1" width="71" style="20" customWidth="1"/>
    <col min="2" max="2" width="10.7109375" style="20" customWidth="1"/>
    <col min="3" max="3" width="8" style="20" customWidth="1"/>
    <col min="4" max="5" width="14.28515625" style="20" customWidth="1"/>
    <col min="6" max="6" width="17" style="20" customWidth="1"/>
    <col min="7" max="7" width="20.5703125" style="20" customWidth="1"/>
    <col min="8" max="16384" width="9.140625" style="20"/>
  </cols>
  <sheetData>
    <row r="1" spans="1:7" ht="19.5" thickBot="1" x14ac:dyDescent="0.35">
      <c r="A1" s="1588" t="s">
        <v>1048</v>
      </c>
      <c r="B1" s="1589"/>
      <c r="C1" s="1589"/>
      <c r="D1" s="1589"/>
      <c r="E1" s="1589"/>
      <c r="F1" s="1589"/>
      <c r="G1" s="1590"/>
    </row>
    <row r="2" spans="1:7" ht="54" x14ac:dyDescent="0.3">
      <c r="A2" s="1110"/>
      <c r="B2" s="1111" t="s">
        <v>3</v>
      </c>
      <c r="C2" s="1111" t="s">
        <v>105</v>
      </c>
      <c r="D2" s="1112" t="s">
        <v>323</v>
      </c>
      <c r="E2" s="1113" t="s">
        <v>1049</v>
      </c>
      <c r="F2" s="1114" t="s">
        <v>8</v>
      </c>
      <c r="G2" s="1115" t="s">
        <v>10</v>
      </c>
    </row>
    <row r="3" spans="1:7" ht="18" x14ac:dyDescent="0.3">
      <c r="A3" s="847" t="s">
        <v>1050</v>
      </c>
      <c r="B3" s="29" t="s">
        <v>1051</v>
      </c>
      <c r="C3" s="150">
        <v>1</v>
      </c>
      <c r="D3" s="1104">
        <v>1277.8</v>
      </c>
      <c r="E3" s="1106">
        <v>970</v>
      </c>
      <c r="F3" s="1108" t="s">
        <v>34</v>
      </c>
      <c r="G3" s="848">
        <v>46072</v>
      </c>
    </row>
    <row r="4" spans="1:7" ht="18" x14ac:dyDescent="0.3">
      <c r="A4" s="847" t="s">
        <v>1052</v>
      </c>
      <c r="B4" s="29" t="s">
        <v>1051</v>
      </c>
      <c r="C4" s="150">
        <v>1</v>
      </c>
      <c r="D4" s="1104">
        <v>1277.8</v>
      </c>
      <c r="E4" s="1106">
        <v>970</v>
      </c>
      <c r="F4" s="1108" t="s">
        <v>34</v>
      </c>
      <c r="G4" s="848">
        <v>46072</v>
      </c>
    </row>
    <row r="5" spans="1:7" ht="18" x14ac:dyDescent="0.3">
      <c r="A5" s="847" t="s">
        <v>1053</v>
      </c>
      <c r="B5" s="29" t="s">
        <v>226</v>
      </c>
      <c r="C5" s="150">
        <v>2</v>
      </c>
      <c r="D5" s="1104">
        <v>1437.8</v>
      </c>
      <c r="E5" s="1106">
        <v>1130</v>
      </c>
      <c r="F5" s="1108" t="s">
        <v>34</v>
      </c>
      <c r="G5" s="848">
        <v>46072</v>
      </c>
    </row>
    <row r="6" spans="1:7" ht="18.75" thickBot="1" x14ac:dyDescent="0.35">
      <c r="A6" s="849" t="s">
        <v>1054</v>
      </c>
      <c r="B6" s="850" t="s">
        <v>1055</v>
      </c>
      <c r="C6" s="851">
        <v>2</v>
      </c>
      <c r="D6" s="1105">
        <v>1437.8</v>
      </c>
      <c r="E6" s="1107">
        <v>1130</v>
      </c>
      <c r="F6" s="1109" t="s">
        <v>34</v>
      </c>
      <c r="G6" s="852">
        <v>46072</v>
      </c>
    </row>
    <row r="7" spans="1:7" x14ac:dyDescent="0.3">
      <c r="A7" s="102"/>
      <c r="B7" s="102"/>
      <c r="C7" s="102"/>
      <c r="D7" s="102"/>
      <c r="E7" s="102"/>
      <c r="F7" s="102"/>
    </row>
    <row r="8" spans="1:7" x14ac:dyDescent="0.3">
      <c r="A8" s="853" t="s">
        <v>1056</v>
      </c>
      <c r="B8" s="102"/>
      <c r="C8" s="102"/>
      <c r="D8" s="102"/>
      <c r="E8" s="102"/>
      <c r="F8" s="102"/>
    </row>
    <row r="9" spans="1:7" ht="17.25" thickBot="1" x14ac:dyDescent="0.35"/>
    <row r="10" spans="1:7" ht="65.25" customHeight="1" thickBot="1" x14ac:dyDescent="0.35">
      <c r="A10" s="343" t="s">
        <v>77</v>
      </c>
      <c r="B10" s="1459" t="s">
        <v>78</v>
      </c>
      <c r="C10" s="1460"/>
    </row>
    <row r="11" spans="1:7" x14ac:dyDescent="0.3">
      <c r="A11" s="1042" t="s">
        <v>79</v>
      </c>
      <c r="B11" s="1461">
        <v>160</v>
      </c>
      <c r="C11" s="1462"/>
    </row>
    <row r="12" spans="1:7" x14ac:dyDescent="0.3">
      <c r="A12" s="1013" t="s">
        <v>80</v>
      </c>
      <c r="B12" s="1451">
        <v>380</v>
      </c>
      <c r="C12" s="1452"/>
    </row>
    <row r="13" spans="1:7" x14ac:dyDescent="0.3">
      <c r="A13" s="1013" t="s">
        <v>81</v>
      </c>
      <c r="B13" s="1451">
        <v>485</v>
      </c>
      <c r="C13" s="1452"/>
    </row>
    <row r="14" spans="1:7" x14ac:dyDescent="0.3">
      <c r="A14" s="1014" t="s">
        <v>82</v>
      </c>
      <c r="B14" s="1451">
        <v>540</v>
      </c>
      <c r="C14" s="1452"/>
    </row>
    <row r="15" spans="1:7" ht="17.25" thickBot="1" x14ac:dyDescent="0.35">
      <c r="A15" s="1015" t="s">
        <v>83</v>
      </c>
      <c r="B15" s="1449">
        <v>760</v>
      </c>
      <c r="C15" s="1450"/>
    </row>
    <row r="17" spans="1:12" x14ac:dyDescent="0.3">
      <c r="A17" s="1200" t="s">
        <v>1057</v>
      </c>
      <c r="B17" s="1200"/>
      <c r="C17" s="1200"/>
      <c r="D17" s="1200"/>
      <c r="E17" s="1200"/>
      <c r="F17" s="1200"/>
      <c r="G17"/>
      <c r="H17"/>
      <c r="I17"/>
      <c r="J17"/>
      <c r="K17"/>
      <c r="L17"/>
    </row>
    <row r="18" spans="1:12" ht="18.75" x14ac:dyDescent="0.3">
      <c r="A18" s="1182" t="s">
        <v>85</v>
      </c>
      <c r="B18" s="1182"/>
      <c r="C18" s="1182"/>
      <c r="D18" s="1182"/>
      <c r="E18" s="1182"/>
      <c r="F18" s="1182"/>
      <c r="G18" s="1182"/>
      <c r="H18" s="1182"/>
      <c r="I18" s="1182"/>
      <c r="J18" s="1182"/>
      <c r="K18" s="1182"/>
      <c r="L18" s="213"/>
    </row>
    <row r="19" spans="1:12" ht="51" customHeight="1" x14ac:dyDescent="0.3">
      <c r="A19" s="1178" t="s">
        <v>95</v>
      </c>
      <c r="B19" s="1178"/>
      <c r="C19" s="1178"/>
      <c r="D19" s="1178"/>
      <c r="E19" s="1178"/>
      <c r="F19" s="1178"/>
      <c r="G19" s="1178"/>
      <c r="H19" s="1178"/>
      <c r="I19" s="1178"/>
      <c r="J19" s="1178"/>
      <c r="K19" s="1178"/>
      <c r="L19" s="214"/>
    </row>
    <row r="20" spans="1:12" ht="40.5" customHeight="1" x14ac:dyDescent="0.3">
      <c r="A20" s="1178" t="s">
        <v>96</v>
      </c>
      <c r="B20" s="1178"/>
      <c r="C20" s="1178"/>
      <c r="D20" s="1178"/>
      <c r="E20" s="1178"/>
      <c r="F20" s="1178"/>
      <c r="G20" s="1178"/>
      <c r="H20" s="1178"/>
      <c r="I20" s="1178"/>
      <c r="J20" s="1178"/>
      <c r="K20" s="1178"/>
      <c r="L20" s="214"/>
    </row>
    <row r="21" spans="1:12" ht="18" x14ac:dyDescent="0.3">
      <c r="A21" s="1178" t="s">
        <v>97</v>
      </c>
      <c r="B21" s="1178"/>
      <c r="C21" s="1178"/>
      <c r="D21" s="1178"/>
      <c r="E21" s="1178"/>
      <c r="F21" s="1178"/>
      <c r="G21" s="1178"/>
      <c r="H21" s="1178"/>
      <c r="I21" s="1178"/>
      <c r="J21" s="1178"/>
      <c r="K21" s="1178"/>
      <c r="L21" s="214"/>
    </row>
    <row r="22" spans="1:12" ht="63.75" customHeight="1" x14ac:dyDescent="0.3">
      <c r="A22" s="1178" t="s">
        <v>98</v>
      </c>
      <c r="B22" s="1178"/>
      <c r="C22" s="1178"/>
      <c r="D22" s="1178"/>
      <c r="E22" s="1178"/>
      <c r="F22" s="1178"/>
      <c r="G22" s="1178"/>
      <c r="H22" s="1178"/>
      <c r="I22" s="1178"/>
      <c r="J22" s="1178"/>
      <c r="K22" s="1178"/>
      <c r="L22" s="214"/>
    </row>
    <row r="23" spans="1:12" ht="24" customHeight="1" x14ac:dyDescent="0.3">
      <c r="A23" s="1178" t="s">
        <v>274</v>
      </c>
      <c r="B23" s="1178"/>
      <c r="C23" s="1178"/>
      <c r="D23" s="1178"/>
      <c r="E23" s="1178"/>
      <c r="F23" s="1178"/>
      <c r="G23" s="1178"/>
      <c r="H23" s="1178"/>
      <c r="I23" s="1178"/>
      <c r="J23" s="1178"/>
      <c r="K23" s="1178"/>
      <c r="L23" s="214"/>
    </row>
    <row r="24" spans="1:12" ht="39" customHeight="1" x14ac:dyDescent="0.3">
      <c r="A24" s="1178" t="s">
        <v>101</v>
      </c>
      <c r="B24" s="1178"/>
      <c r="C24" s="1178"/>
      <c r="D24" s="1178"/>
      <c r="E24" s="1178"/>
      <c r="F24" s="1178"/>
      <c r="G24" s="1178"/>
      <c r="H24" s="1178"/>
      <c r="I24" s="1178"/>
      <c r="J24" s="1178"/>
      <c r="K24" s="1178"/>
      <c r="L24" s="214"/>
    </row>
    <row r="25" spans="1:12" ht="66" customHeight="1" x14ac:dyDescent="0.3">
      <c r="A25" s="1178" t="s">
        <v>359</v>
      </c>
      <c r="B25" s="1178"/>
      <c r="C25" s="1178"/>
      <c r="D25" s="1178"/>
      <c r="E25" s="1178"/>
      <c r="F25" s="1178"/>
      <c r="G25" s="1178"/>
      <c r="H25" s="1178"/>
      <c r="I25" s="1178"/>
      <c r="J25" s="1178"/>
      <c r="K25" s="1178"/>
      <c r="L25" s="214"/>
    </row>
    <row r="26" spans="1:12" ht="18" x14ac:dyDescent="0.3">
      <c r="A26" s="1211"/>
      <c r="B26" s="1212"/>
      <c r="C26" s="1212"/>
      <c r="D26" s="1212"/>
      <c r="E26" s="1212"/>
      <c r="F26" s="1212"/>
      <c r="G26" s="1212"/>
      <c r="H26" s="1212"/>
      <c r="I26" s="1212"/>
      <c r="J26" s="1212"/>
      <c r="K26" s="1212"/>
      <c r="L26" s="1295"/>
    </row>
    <row r="27" spans="1:12" ht="18.75" x14ac:dyDescent="0.35">
      <c r="A27" s="1587" t="s">
        <v>86</v>
      </c>
      <c r="B27" s="1587"/>
      <c r="C27" s="1587"/>
      <c r="D27" s="1587"/>
      <c r="E27" s="1587"/>
      <c r="F27" s="1587"/>
      <c r="G27" s="63"/>
      <c r="H27" s="64"/>
      <c r="I27" s="64"/>
      <c r="J27" s="64"/>
      <c r="K27" s="3"/>
      <c r="L27" s="3"/>
    </row>
    <row r="28" spans="1:12" ht="108" customHeight="1" x14ac:dyDescent="0.35">
      <c r="A28" s="1586" t="s">
        <v>1058</v>
      </c>
      <c r="B28" s="1586"/>
      <c r="C28" s="1586"/>
      <c r="D28" s="1586"/>
      <c r="E28" s="1586"/>
      <c r="F28" s="1586"/>
      <c r="G28" s="63"/>
      <c r="H28" s="64"/>
      <c r="I28" s="64"/>
      <c r="J28" s="64"/>
      <c r="K28" s="3"/>
      <c r="L28" s="3"/>
    </row>
    <row r="29" spans="1:12" ht="29.25" customHeight="1" x14ac:dyDescent="0.35">
      <c r="A29" s="1586" t="s">
        <v>89</v>
      </c>
      <c r="B29" s="1586"/>
      <c r="C29" s="1586"/>
      <c r="D29" s="1586"/>
      <c r="E29" s="1586"/>
      <c r="F29" s="1586"/>
      <c r="G29" s="63"/>
      <c r="H29" s="64"/>
      <c r="I29" s="64"/>
      <c r="J29" s="64"/>
      <c r="K29" s="3"/>
      <c r="L29" s="3"/>
    </row>
    <row r="30" spans="1:12" ht="18" x14ac:dyDescent="0.35">
      <c r="A30" s="1586" t="s">
        <v>90</v>
      </c>
      <c r="B30" s="1586"/>
      <c r="C30" s="1586"/>
      <c r="D30" s="1586"/>
      <c r="E30" s="1586"/>
      <c r="F30" s="1586"/>
      <c r="G30" s="63"/>
      <c r="H30" s="64"/>
      <c r="I30" s="64"/>
      <c r="J30" s="64"/>
      <c r="K30" s="3"/>
      <c r="L30" s="3"/>
    </row>
    <row r="31" spans="1:12" ht="18" x14ac:dyDescent="0.3">
      <c r="A31" s="1586" t="s">
        <v>278</v>
      </c>
      <c r="B31" s="1586"/>
      <c r="C31" s="1586"/>
      <c r="D31" s="1586"/>
      <c r="E31" s="1586"/>
      <c r="F31" s="1586"/>
      <c r="G31" s="3"/>
      <c r="H31" s="3"/>
      <c r="I31" s="64"/>
      <c r="J31" s="64"/>
      <c r="K31" s="3"/>
      <c r="L31" s="3"/>
    </row>
  </sheetData>
  <mergeCells count="22">
    <mergeCell ref="A21:K21"/>
    <mergeCell ref="A1:G1"/>
    <mergeCell ref="B10:C10"/>
    <mergeCell ref="B11:C11"/>
    <mergeCell ref="B12:C12"/>
    <mergeCell ref="B13:C13"/>
    <mergeCell ref="B14:C14"/>
    <mergeCell ref="B15:C15"/>
    <mergeCell ref="A17:F17"/>
    <mergeCell ref="A18:K18"/>
    <mergeCell ref="A19:K19"/>
    <mergeCell ref="A20:K20"/>
    <mergeCell ref="A28:F28"/>
    <mergeCell ref="A29:F29"/>
    <mergeCell ref="A30:F30"/>
    <mergeCell ref="A31:F31"/>
    <mergeCell ref="A22:K22"/>
    <mergeCell ref="A23:K23"/>
    <mergeCell ref="A24:K24"/>
    <mergeCell ref="A25:K25"/>
    <mergeCell ref="A26:L26"/>
    <mergeCell ref="A27:F2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6334-B3B7-41F7-A157-68BD01D37CEF}">
  <dimension ref="A1:H43"/>
  <sheetViews>
    <sheetView workbookViewId="0">
      <selection activeCell="A9" sqref="A9"/>
    </sheetView>
  </sheetViews>
  <sheetFormatPr defaultColWidth="9.140625" defaultRowHeight="18" x14ac:dyDescent="0.35"/>
  <cols>
    <col min="1" max="1" width="61.7109375" style="62" customWidth="1"/>
    <col min="2" max="2" width="7.5703125" style="61" customWidth="1"/>
    <col min="3" max="3" width="15.5703125" style="62" customWidth="1"/>
    <col min="4" max="4" width="18.85546875" style="62" customWidth="1"/>
    <col min="5" max="5" width="11.5703125" style="62" customWidth="1"/>
    <col min="6" max="6" width="17" style="62" bestFit="1" customWidth="1"/>
    <col min="7" max="7" width="15.28515625" style="62" bestFit="1" customWidth="1"/>
    <col min="8" max="8" width="14.5703125" style="62" customWidth="1"/>
    <col min="9" max="16384" width="9.140625" style="62"/>
  </cols>
  <sheetData>
    <row r="1" spans="1:8" ht="18.75" thickBot="1" x14ac:dyDescent="0.4">
      <c r="A1" s="1591" t="s">
        <v>1059</v>
      </c>
      <c r="B1" s="1592"/>
      <c r="C1" s="1592"/>
      <c r="D1" s="1592"/>
      <c r="E1" s="1592"/>
      <c r="F1" s="1592"/>
      <c r="G1" s="1592"/>
      <c r="H1" s="1592"/>
    </row>
    <row r="2" spans="1:8" ht="36.75" thickBot="1" x14ac:dyDescent="0.4">
      <c r="A2" s="1116" t="s">
        <v>2</v>
      </c>
      <c r="B2" s="1059" t="s">
        <v>155</v>
      </c>
      <c r="C2" s="1117" t="s">
        <v>1060</v>
      </c>
      <c r="D2" s="1118" t="s">
        <v>1061</v>
      </c>
      <c r="E2" s="1059" t="s">
        <v>124</v>
      </c>
      <c r="F2" s="985" t="s">
        <v>109</v>
      </c>
      <c r="G2" s="1119" t="s">
        <v>1209</v>
      </c>
      <c r="H2" s="1120" t="s">
        <v>8</v>
      </c>
    </row>
    <row r="3" spans="1:8" x14ac:dyDescent="0.35">
      <c r="A3" s="854" t="s">
        <v>1062</v>
      </c>
      <c r="B3" s="48" t="s">
        <v>1063</v>
      </c>
      <c r="C3" s="855" t="s">
        <v>1064</v>
      </c>
      <c r="D3" s="855">
        <v>3</v>
      </c>
      <c r="E3" s="48">
        <v>1</v>
      </c>
      <c r="F3" s="81">
        <v>1440</v>
      </c>
      <c r="G3" s="82">
        <v>1400</v>
      </c>
      <c r="H3" s="1593"/>
    </row>
    <row r="4" spans="1:8" ht="36" x14ac:dyDescent="0.35">
      <c r="A4" s="854" t="s">
        <v>1065</v>
      </c>
      <c r="B4" s="48" t="s">
        <v>1066</v>
      </c>
      <c r="C4" s="855"/>
      <c r="D4" s="855">
        <v>4</v>
      </c>
      <c r="E4" s="48">
        <v>2</v>
      </c>
      <c r="F4" s="81">
        <v>2050</v>
      </c>
      <c r="G4" s="82">
        <v>800</v>
      </c>
      <c r="H4" s="1593"/>
    </row>
    <row r="5" spans="1:8" ht="36" x14ac:dyDescent="0.35">
      <c r="A5" s="854" t="s">
        <v>1067</v>
      </c>
      <c r="B5" s="48" t="s">
        <v>1066</v>
      </c>
      <c r="C5" s="855"/>
      <c r="D5" s="855">
        <v>5</v>
      </c>
      <c r="E5" s="48">
        <v>2</v>
      </c>
      <c r="F5" s="81">
        <v>2260</v>
      </c>
      <c r="G5" s="82">
        <v>1200</v>
      </c>
      <c r="H5" s="1593"/>
    </row>
    <row r="6" spans="1:8" x14ac:dyDescent="0.35">
      <c r="A6" s="698" t="s">
        <v>1068</v>
      </c>
      <c r="B6" s="856" t="s">
        <v>1069</v>
      </c>
      <c r="C6" s="857" t="s">
        <v>1070</v>
      </c>
      <c r="D6" s="857">
        <v>2.5</v>
      </c>
      <c r="E6" s="856">
        <v>1</v>
      </c>
      <c r="F6" s="858">
        <v>1330</v>
      </c>
      <c r="G6" s="82">
        <v>500</v>
      </c>
      <c r="H6" s="1593"/>
    </row>
    <row r="7" spans="1:8" x14ac:dyDescent="0.35">
      <c r="A7" s="854" t="s">
        <v>1071</v>
      </c>
      <c r="B7" s="48" t="s">
        <v>1069</v>
      </c>
      <c r="C7" s="855"/>
      <c r="D7" s="855">
        <v>3.5</v>
      </c>
      <c r="E7" s="48">
        <v>1</v>
      </c>
      <c r="F7" s="81">
        <v>1540</v>
      </c>
      <c r="G7" s="82">
        <v>600</v>
      </c>
      <c r="H7" s="1593"/>
    </row>
    <row r="8" spans="1:8" x14ac:dyDescent="0.35">
      <c r="A8" s="854" t="s">
        <v>1072</v>
      </c>
      <c r="B8" s="48" t="s">
        <v>1069</v>
      </c>
      <c r="C8" s="855"/>
      <c r="D8" s="855">
        <v>4.5</v>
      </c>
      <c r="E8" s="48">
        <v>1</v>
      </c>
      <c r="F8" s="81">
        <v>1750</v>
      </c>
      <c r="G8" s="82">
        <v>700</v>
      </c>
      <c r="H8" s="1593"/>
    </row>
    <row r="9" spans="1:8" ht="36" x14ac:dyDescent="0.35">
      <c r="A9" s="698" t="s">
        <v>1073</v>
      </c>
      <c r="B9" s="856" t="s">
        <v>1069</v>
      </c>
      <c r="C9" s="857" t="s">
        <v>1074</v>
      </c>
      <c r="D9" s="857">
        <v>2.5</v>
      </c>
      <c r="E9" s="856">
        <v>1</v>
      </c>
      <c r="F9" s="858">
        <v>1330</v>
      </c>
      <c r="G9" s="82">
        <v>500</v>
      </c>
      <c r="H9" s="1593"/>
    </row>
    <row r="10" spans="1:8" ht="36" x14ac:dyDescent="0.35">
      <c r="A10" s="698" t="s">
        <v>1075</v>
      </c>
      <c r="B10" s="856" t="s">
        <v>1069</v>
      </c>
      <c r="C10" s="857"/>
      <c r="D10" s="857">
        <v>3.5</v>
      </c>
      <c r="E10" s="856">
        <v>1</v>
      </c>
      <c r="F10" s="858">
        <v>1540</v>
      </c>
      <c r="G10" s="82">
        <v>600</v>
      </c>
      <c r="H10" s="1593"/>
    </row>
    <row r="11" spans="1:8" x14ac:dyDescent="0.35">
      <c r="A11" s="854" t="s">
        <v>1076</v>
      </c>
      <c r="B11" s="48" t="s">
        <v>1066</v>
      </c>
      <c r="C11" s="855" t="s">
        <v>1077</v>
      </c>
      <c r="D11" s="855">
        <v>5</v>
      </c>
      <c r="E11" s="48">
        <v>2</v>
      </c>
      <c r="F11" s="81">
        <v>2260</v>
      </c>
      <c r="G11" s="82">
        <v>1200</v>
      </c>
      <c r="H11" s="1593"/>
    </row>
    <row r="12" spans="1:8" x14ac:dyDescent="0.35">
      <c r="A12" s="854" t="s">
        <v>1078</v>
      </c>
      <c r="B12" s="48" t="s">
        <v>1066</v>
      </c>
      <c r="C12" s="855" t="s">
        <v>1079</v>
      </c>
      <c r="D12" s="855">
        <v>4</v>
      </c>
      <c r="E12" s="48">
        <v>2</v>
      </c>
      <c r="F12" s="81">
        <v>2050</v>
      </c>
      <c r="G12" s="82">
        <v>800</v>
      </c>
      <c r="H12" s="1593"/>
    </row>
    <row r="13" spans="1:8" x14ac:dyDescent="0.35">
      <c r="A13" s="854" t="s">
        <v>1080</v>
      </c>
      <c r="B13" s="48" t="s">
        <v>1081</v>
      </c>
      <c r="C13" s="855" t="s">
        <v>1082</v>
      </c>
      <c r="D13" s="855">
        <v>1</v>
      </c>
      <c r="E13" s="48">
        <v>1</v>
      </c>
      <c r="F13" s="81">
        <v>1010</v>
      </c>
      <c r="G13" s="82">
        <v>650</v>
      </c>
      <c r="H13" s="1593"/>
    </row>
    <row r="14" spans="1:8" x14ac:dyDescent="0.35">
      <c r="A14" s="854" t="s">
        <v>1080</v>
      </c>
      <c r="B14" s="48" t="s">
        <v>212</v>
      </c>
      <c r="C14" s="855" t="s">
        <v>1083</v>
      </c>
      <c r="D14" s="855">
        <v>1</v>
      </c>
      <c r="E14" s="48" t="s">
        <v>16</v>
      </c>
      <c r="F14" s="81">
        <v>610</v>
      </c>
      <c r="G14" s="82">
        <v>500</v>
      </c>
      <c r="H14" s="1593"/>
    </row>
    <row r="15" spans="1:8" x14ac:dyDescent="0.35">
      <c r="A15" s="854" t="s">
        <v>1084</v>
      </c>
      <c r="B15" s="48" t="s">
        <v>1063</v>
      </c>
      <c r="C15" s="855" t="s">
        <v>1085</v>
      </c>
      <c r="D15" s="855">
        <v>1</v>
      </c>
      <c r="E15" s="48" t="s">
        <v>16</v>
      </c>
      <c r="F15" s="81">
        <v>610</v>
      </c>
      <c r="G15" s="82">
        <v>400</v>
      </c>
      <c r="H15" s="1593"/>
    </row>
    <row r="16" spans="1:8" x14ac:dyDescent="0.35">
      <c r="A16" s="854" t="s">
        <v>1086</v>
      </c>
      <c r="B16" s="48" t="s">
        <v>1063</v>
      </c>
      <c r="C16" s="855" t="s">
        <v>1087</v>
      </c>
      <c r="D16" s="855">
        <v>1</v>
      </c>
      <c r="E16" s="48" t="s">
        <v>16</v>
      </c>
      <c r="F16" s="81">
        <v>610</v>
      </c>
      <c r="G16" s="82">
        <v>400</v>
      </c>
      <c r="H16" s="1593"/>
    </row>
    <row r="17" spans="1:8" ht="36" x14ac:dyDescent="0.35">
      <c r="A17" s="854" t="s">
        <v>1088</v>
      </c>
      <c r="B17" s="48" t="s">
        <v>1063</v>
      </c>
      <c r="C17" s="855" t="s">
        <v>1089</v>
      </c>
      <c r="D17" s="855">
        <v>1</v>
      </c>
      <c r="E17" s="48" t="s">
        <v>16</v>
      </c>
      <c r="F17" s="81">
        <v>800</v>
      </c>
      <c r="G17" s="82">
        <v>600</v>
      </c>
      <c r="H17" s="1593"/>
    </row>
    <row r="18" spans="1:8" x14ac:dyDescent="0.35">
      <c r="A18" s="854" t="s">
        <v>1090</v>
      </c>
      <c r="B18" s="48" t="s">
        <v>212</v>
      </c>
      <c r="C18" s="855" t="s">
        <v>1091</v>
      </c>
      <c r="D18" s="855"/>
      <c r="E18" s="48" t="s">
        <v>16</v>
      </c>
      <c r="F18" s="81">
        <v>400</v>
      </c>
      <c r="G18" s="82">
        <v>385</v>
      </c>
      <c r="H18" s="1593"/>
    </row>
    <row r="19" spans="1:8" x14ac:dyDescent="0.35">
      <c r="A19" s="854" t="s">
        <v>1092</v>
      </c>
      <c r="B19" s="48" t="s">
        <v>1093</v>
      </c>
      <c r="C19" s="855"/>
      <c r="D19" s="855">
        <v>5</v>
      </c>
      <c r="E19" s="48">
        <v>4</v>
      </c>
      <c r="F19" s="81">
        <v>3055</v>
      </c>
      <c r="G19" s="82">
        <v>2300</v>
      </c>
      <c r="H19" s="1593"/>
    </row>
    <row r="20" spans="1:8" x14ac:dyDescent="0.35">
      <c r="A20" s="854" t="s">
        <v>1094</v>
      </c>
      <c r="B20" s="48" t="s">
        <v>1093</v>
      </c>
      <c r="C20" s="855" t="s">
        <v>1095</v>
      </c>
      <c r="D20" s="855">
        <v>6</v>
      </c>
      <c r="E20" s="48">
        <v>5</v>
      </c>
      <c r="F20" s="81">
        <v>3670</v>
      </c>
      <c r="G20" s="82">
        <v>3000</v>
      </c>
      <c r="H20" s="1593"/>
    </row>
    <row r="21" spans="1:8" x14ac:dyDescent="0.35">
      <c r="A21" s="854" t="s">
        <v>1096</v>
      </c>
      <c r="B21" s="48" t="s">
        <v>1081</v>
      </c>
      <c r="C21" s="855" t="s">
        <v>1097</v>
      </c>
      <c r="D21" s="855">
        <v>1</v>
      </c>
      <c r="E21" s="48">
        <v>1</v>
      </c>
      <c r="F21" s="81">
        <v>1010</v>
      </c>
      <c r="G21" s="82">
        <v>650</v>
      </c>
      <c r="H21" s="1593"/>
    </row>
    <row r="22" spans="1:8" x14ac:dyDescent="0.35">
      <c r="A22" s="854" t="s">
        <v>1098</v>
      </c>
      <c r="B22" s="48" t="s">
        <v>1099</v>
      </c>
      <c r="C22" s="855" t="s">
        <v>1100</v>
      </c>
      <c r="D22" s="855">
        <v>5</v>
      </c>
      <c r="E22" s="48">
        <v>3</v>
      </c>
      <c r="F22" s="81">
        <v>2660</v>
      </c>
      <c r="G22" s="82">
        <v>1000</v>
      </c>
      <c r="H22" s="1593"/>
    </row>
    <row r="23" spans="1:8" x14ac:dyDescent="0.35">
      <c r="A23" s="854" t="s">
        <v>1101</v>
      </c>
      <c r="B23" s="48" t="s">
        <v>1063</v>
      </c>
      <c r="C23" s="855" t="s">
        <v>1102</v>
      </c>
      <c r="D23" s="855">
        <v>1</v>
      </c>
      <c r="E23" s="48">
        <v>1</v>
      </c>
      <c r="F23" s="81">
        <v>1010</v>
      </c>
      <c r="G23" s="82">
        <v>600</v>
      </c>
      <c r="H23" s="1593"/>
    </row>
    <row r="24" spans="1:8" x14ac:dyDescent="0.35">
      <c r="A24" s="854" t="s">
        <v>1103</v>
      </c>
      <c r="B24" s="51" t="s">
        <v>1063</v>
      </c>
      <c r="C24" s="855"/>
      <c r="D24" s="855">
        <v>1.5</v>
      </c>
      <c r="E24" s="48">
        <v>1</v>
      </c>
      <c r="F24" s="81">
        <v>1120</v>
      </c>
      <c r="G24" s="82">
        <v>700</v>
      </c>
      <c r="H24" s="1593"/>
    </row>
    <row r="25" spans="1:8" ht="36" x14ac:dyDescent="0.35">
      <c r="A25" s="854" t="s">
        <v>1104</v>
      </c>
      <c r="B25" s="859" t="s">
        <v>1105</v>
      </c>
      <c r="C25" s="855"/>
      <c r="D25" s="855">
        <v>2</v>
      </c>
      <c r="E25" s="48">
        <v>1</v>
      </c>
      <c r="F25" s="81">
        <v>1225</v>
      </c>
      <c r="G25" s="82">
        <v>500</v>
      </c>
      <c r="H25" s="1593"/>
    </row>
    <row r="26" spans="1:8" x14ac:dyDescent="0.35">
      <c r="A26" s="854" t="s">
        <v>1106</v>
      </c>
      <c r="B26" s="48" t="s">
        <v>212</v>
      </c>
      <c r="C26" s="855" t="s">
        <v>1107</v>
      </c>
      <c r="D26" s="855">
        <v>1</v>
      </c>
      <c r="E26" s="48" t="s">
        <v>16</v>
      </c>
      <c r="F26" s="81">
        <v>610</v>
      </c>
      <c r="G26" s="82">
        <v>400</v>
      </c>
      <c r="H26" s="1593"/>
    </row>
    <row r="27" spans="1:8" ht="36" x14ac:dyDescent="0.35">
      <c r="A27" s="698" t="s">
        <v>1108</v>
      </c>
      <c r="B27" s="856" t="s">
        <v>1066</v>
      </c>
      <c r="C27" s="857" t="s">
        <v>1109</v>
      </c>
      <c r="D27" s="857">
        <v>6</v>
      </c>
      <c r="E27" s="856">
        <v>5</v>
      </c>
      <c r="F27" s="858">
        <v>4000</v>
      </c>
      <c r="G27" s="82">
        <v>1900</v>
      </c>
      <c r="H27" s="1593"/>
    </row>
    <row r="28" spans="1:8" ht="36" x14ac:dyDescent="0.35">
      <c r="A28" s="698" t="s">
        <v>1110</v>
      </c>
      <c r="B28" s="856" t="s">
        <v>1111</v>
      </c>
      <c r="C28" s="857" t="s">
        <v>1112</v>
      </c>
      <c r="D28" s="857">
        <v>7</v>
      </c>
      <c r="E28" s="856">
        <v>5</v>
      </c>
      <c r="F28" s="858">
        <v>5800</v>
      </c>
      <c r="G28" s="82">
        <v>3200</v>
      </c>
      <c r="H28" s="1593"/>
    </row>
    <row r="29" spans="1:8" x14ac:dyDescent="0.35">
      <c r="A29" s="698" t="s">
        <v>1113</v>
      </c>
      <c r="B29" s="856" t="s">
        <v>1066</v>
      </c>
      <c r="C29" s="857"/>
      <c r="D29" s="857">
        <v>4</v>
      </c>
      <c r="E29" s="856">
        <v>2</v>
      </c>
      <c r="F29" s="858">
        <v>2045</v>
      </c>
      <c r="G29" s="82">
        <v>800</v>
      </c>
      <c r="H29" s="1593"/>
    </row>
    <row r="30" spans="1:8" x14ac:dyDescent="0.35">
      <c r="A30" s="698" t="s">
        <v>1114</v>
      </c>
      <c r="B30" s="856" t="s">
        <v>1066</v>
      </c>
      <c r="C30" s="857"/>
      <c r="D30" s="857">
        <v>3</v>
      </c>
      <c r="E30" s="856">
        <v>2</v>
      </c>
      <c r="F30" s="858">
        <v>1840</v>
      </c>
      <c r="G30" s="82">
        <v>600</v>
      </c>
      <c r="H30" s="1593"/>
    </row>
    <row r="31" spans="1:8" x14ac:dyDescent="0.35">
      <c r="A31" s="698" t="s">
        <v>1115</v>
      </c>
      <c r="B31" s="856" t="s">
        <v>1066</v>
      </c>
      <c r="C31" s="857"/>
      <c r="D31" s="857">
        <v>2.5</v>
      </c>
      <c r="E31" s="856">
        <v>2</v>
      </c>
      <c r="F31" s="858">
        <v>1730</v>
      </c>
      <c r="G31" s="82">
        <v>500</v>
      </c>
      <c r="H31" s="1593"/>
    </row>
    <row r="32" spans="1:8" x14ac:dyDescent="0.35">
      <c r="A32" s="854" t="s">
        <v>1116</v>
      </c>
      <c r="B32" s="48" t="s">
        <v>1099</v>
      </c>
      <c r="C32" s="855"/>
      <c r="D32" s="855">
        <v>3</v>
      </c>
      <c r="E32" s="48">
        <v>2</v>
      </c>
      <c r="F32" s="81">
        <v>1835</v>
      </c>
      <c r="G32" s="82">
        <v>700</v>
      </c>
      <c r="H32" s="1593"/>
    </row>
    <row r="33" spans="1:8" x14ac:dyDescent="0.35">
      <c r="A33" s="854" t="s">
        <v>1117</v>
      </c>
      <c r="B33" s="48" t="s">
        <v>1063</v>
      </c>
      <c r="C33" s="855"/>
      <c r="D33" s="855">
        <v>2</v>
      </c>
      <c r="E33" s="48">
        <v>1</v>
      </c>
      <c r="F33" s="81">
        <v>1230</v>
      </c>
      <c r="G33" s="82">
        <v>1100</v>
      </c>
      <c r="H33" s="1593"/>
    </row>
    <row r="34" spans="1:8" x14ac:dyDescent="0.35">
      <c r="A34" s="854" t="s">
        <v>1118</v>
      </c>
      <c r="B34" s="48" t="s">
        <v>1063</v>
      </c>
      <c r="C34" s="855" t="s">
        <v>1119</v>
      </c>
      <c r="D34" s="855">
        <v>2</v>
      </c>
      <c r="E34" s="48">
        <v>1</v>
      </c>
      <c r="F34" s="81">
        <v>1230</v>
      </c>
      <c r="G34" s="82">
        <v>950</v>
      </c>
      <c r="H34" s="1593"/>
    </row>
    <row r="35" spans="1:8" x14ac:dyDescent="0.35">
      <c r="A35" s="854" t="s">
        <v>1120</v>
      </c>
      <c r="B35" s="48" t="s">
        <v>1063</v>
      </c>
      <c r="C35" s="855"/>
      <c r="D35" s="855">
        <v>3</v>
      </c>
      <c r="E35" s="48">
        <v>1</v>
      </c>
      <c r="F35" s="81">
        <v>1435</v>
      </c>
      <c r="G35" s="82">
        <v>1100</v>
      </c>
      <c r="H35" s="1593"/>
    </row>
    <row r="36" spans="1:8" ht="36" x14ac:dyDescent="0.35">
      <c r="A36" s="854" t="s">
        <v>1121</v>
      </c>
      <c r="B36" s="48" t="s">
        <v>1063</v>
      </c>
      <c r="C36" s="855" t="s">
        <v>1122</v>
      </c>
      <c r="D36" s="855">
        <v>3</v>
      </c>
      <c r="E36" s="48">
        <v>1</v>
      </c>
      <c r="F36" s="81">
        <v>1440</v>
      </c>
      <c r="G36" s="82">
        <v>1300</v>
      </c>
      <c r="H36" s="1593"/>
    </row>
    <row r="37" spans="1:8" ht="36" x14ac:dyDescent="0.35">
      <c r="A37" s="698" t="s">
        <v>1123</v>
      </c>
      <c r="B37" s="856" t="s">
        <v>1066</v>
      </c>
      <c r="C37" s="857"/>
      <c r="D37" s="857">
        <v>8</v>
      </c>
      <c r="E37" s="856">
        <v>5</v>
      </c>
      <c r="F37" s="858">
        <v>4200</v>
      </c>
      <c r="G37" s="82">
        <v>1900</v>
      </c>
      <c r="H37" s="1593"/>
    </row>
    <row r="38" spans="1:8" x14ac:dyDescent="0.35">
      <c r="A38" s="698" t="s">
        <v>1208</v>
      </c>
      <c r="B38" s="856" t="s">
        <v>1066</v>
      </c>
      <c r="C38" s="857" t="s">
        <v>1124</v>
      </c>
      <c r="D38" s="857">
        <v>5</v>
      </c>
      <c r="E38" s="856">
        <v>3</v>
      </c>
      <c r="F38" s="858">
        <v>3200</v>
      </c>
      <c r="G38" s="82">
        <v>800</v>
      </c>
      <c r="H38" s="1593"/>
    </row>
    <row r="39" spans="1:8" ht="36" x14ac:dyDescent="0.35">
      <c r="A39" s="698" t="s">
        <v>1125</v>
      </c>
      <c r="B39" s="856" t="s">
        <v>1111</v>
      </c>
      <c r="C39" s="857"/>
      <c r="D39" s="857">
        <v>10</v>
      </c>
      <c r="E39" s="856">
        <v>5</v>
      </c>
      <c r="F39" s="858">
        <v>6500</v>
      </c>
      <c r="G39" s="82">
        <v>4000</v>
      </c>
      <c r="H39" s="1593"/>
    </row>
    <row r="40" spans="1:8" ht="36.75" thickBot="1" x14ac:dyDescent="0.4">
      <c r="A40" s="715" t="s">
        <v>1126</v>
      </c>
      <c r="B40" s="860" t="s">
        <v>1066</v>
      </c>
      <c r="C40" s="861"/>
      <c r="D40" s="861">
        <v>8</v>
      </c>
      <c r="E40" s="860">
        <v>5</v>
      </c>
      <c r="F40" s="862">
        <v>6200</v>
      </c>
      <c r="G40" s="82">
        <v>3800</v>
      </c>
      <c r="H40" s="1594"/>
    </row>
    <row r="41" spans="1:8" ht="44.25" customHeight="1" x14ac:dyDescent="0.35">
      <c r="A41" s="1595" t="s">
        <v>1127</v>
      </c>
      <c r="B41" s="1596"/>
      <c r="C41" s="1596"/>
      <c r="D41" s="1596"/>
      <c r="E41" s="1596"/>
      <c r="F41" s="1596"/>
      <c r="G41" s="1596"/>
      <c r="H41" s="1596"/>
    </row>
    <row r="43" spans="1:8" x14ac:dyDescent="0.35">
      <c r="A43" s="863" t="s">
        <v>691</v>
      </c>
      <c r="B43" s="204"/>
      <c r="C43" s="677"/>
      <c r="D43" s="677"/>
      <c r="E43" s="677"/>
    </row>
  </sheetData>
  <mergeCells count="3">
    <mergeCell ref="A1:H1"/>
    <mergeCell ref="H3:H40"/>
    <mergeCell ref="A41:H4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576C-4B04-480F-9B91-1FD3800C6D75}">
  <sheetPr>
    <pageSetUpPr fitToPage="1"/>
  </sheetPr>
  <dimension ref="A1:AS85"/>
  <sheetViews>
    <sheetView workbookViewId="0">
      <selection activeCell="B19" sqref="B19"/>
    </sheetView>
  </sheetViews>
  <sheetFormatPr defaultColWidth="9.140625" defaultRowHeight="18" x14ac:dyDescent="0.35"/>
  <cols>
    <col min="1" max="1" width="8.140625" style="61" customWidth="1"/>
    <col min="2" max="2" width="55.85546875" style="275" customWidth="1"/>
    <col min="3" max="3" width="17.7109375" style="275" customWidth="1"/>
    <col min="4" max="4" width="11" style="275" customWidth="1"/>
    <col min="5" max="5" width="11.28515625" style="275" customWidth="1"/>
    <col min="6" max="7" width="15.7109375" style="275" customWidth="1"/>
    <col min="8" max="8" width="18.7109375" style="275" customWidth="1"/>
    <col min="9" max="9" width="22.5703125" style="275" bestFit="1" customWidth="1"/>
    <col min="10" max="10" width="111.5703125" style="275" customWidth="1"/>
    <col min="11" max="11" width="125.42578125" style="275" customWidth="1"/>
    <col min="12" max="12" width="126.140625" style="275" customWidth="1"/>
    <col min="13" max="14" width="132.7109375" style="275" customWidth="1"/>
    <col min="15" max="15" width="103.7109375" style="275" customWidth="1"/>
    <col min="16" max="16" width="25.42578125" style="275" customWidth="1"/>
    <col min="17" max="17" width="39.140625" style="275" customWidth="1"/>
    <col min="18" max="16384" width="9.140625" style="275"/>
  </cols>
  <sheetData>
    <row r="1" spans="1:9" s="864" customFormat="1" ht="33.75" customHeight="1" thickBot="1" x14ac:dyDescent="0.3">
      <c r="A1" s="1597" t="s">
        <v>1128</v>
      </c>
      <c r="B1" s="1598"/>
      <c r="C1" s="1598"/>
      <c r="D1" s="1598"/>
      <c r="E1" s="1598"/>
      <c r="F1" s="1598"/>
      <c r="G1" s="1598"/>
      <c r="H1" s="1598"/>
      <c r="I1" s="1599"/>
    </row>
    <row r="2" spans="1:9" ht="18.75" customHeight="1" x14ac:dyDescent="0.25">
      <c r="A2" s="1233" t="s">
        <v>1</v>
      </c>
      <c r="B2" s="1600" t="s">
        <v>2</v>
      </c>
      <c r="C2" s="1601" t="s">
        <v>280</v>
      </c>
      <c r="D2" s="1602" t="s">
        <v>3</v>
      </c>
      <c r="E2" s="1602" t="s">
        <v>124</v>
      </c>
      <c r="F2" s="1339" t="s">
        <v>1129</v>
      </c>
      <c r="G2" s="1339" t="s">
        <v>1130</v>
      </c>
      <c r="H2" s="1603" t="s">
        <v>8</v>
      </c>
      <c r="I2" s="1604" t="s">
        <v>10</v>
      </c>
    </row>
    <row r="3" spans="1:9" ht="42" customHeight="1" thickBot="1" x14ac:dyDescent="0.3">
      <c r="A3" s="1234"/>
      <c r="B3" s="1600"/>
      <c r="C3" s="1601"/>
      <c r="D3" s="1602"/>
      <c r="E3" s="1602"/>
      <c r="F3" s="1341"/>
      <c r="G3" s="1341"/>
      <c r="H3" s="1603"/>
      <c r="I3" s="1604"/>
    </row>
    <row r="4" spans="1:9" x14ac:dyDescent="0.35">
      <c r="A4" s="865">
        <v>1</v>
      </c>
      <c r="B4" s="866" t="s">
        <v>1131</v>
      </c>
      <c r="C4" s="867">
        <v>1</v>
      </c>
      <c r="D4" s="868" t="s">
        <v>1132</v>
      </c>
      <c r="E4" s="869">
        <v>1</v>
      </c>
      <c r="F4" s="870">
        <v>872</v>
      </c>
      <c r="G4" s="871">
        <v>666</v>
      </c>
      <c r="H4" s="1121" t="s">
        <v>289</v>
      </c>
      <c r="I4" s="872">
        <v>44973</v>
      </c>
    </row>
    <row r="5" spans="1:9" x14ac:dyDescent="0.35">
      <c r="A5" s="873">
        <v>2</v>
      </c>
      <c r="B5" s="874" t="s">
        <v>1133</v>
      </c>
      <c r="C5" s="875">
        <v>1</v>
      </c>
      <c r="D5" s="48" t="s">
        <v>1132</v>
      </c>
      <c r="E5" s="48">
        <v>1</v>
      </c>
      <c r="F5" s="238">
        <v>872</v>
      </c>
      <c r="G5" s="876">
        <v>666</v>
      </c>
      <c r="H5" s="1122" t="s">
        <v>289</v>
      </c>
      <c r="I5" s="877">
        <v>44973</v>
      </c>
    </row>
    <row r="6" spans="1:9" x14ac:dyDescent="0.35">
      <c r="A6" s="873">
        <v>3</v>
      </c>
      <c r="B6" s="874" t="s">
        <v>1134</v>
      </c>
      <c r="C6" s="875">
        <v>2</v>
      </c>
      <c r="D6" s="48" t="s">
        <v>1132</v>
      </c>
      <c r="E6" s="48">
        <v>1</v>
      </c>
      <c r="F6" s="238">
        <v>1082.52</v>
      </c>
      <c r="G6" s="876">
        <v>877</v>
      </c>
      <c r="H6" s="1122" t="s">
        <v>289</v>
      </c>
      <c r="I6" s="877">
        <v>44973</v>
      </c>
    </row>
    <row r="7" spans="1:9" ht="36" x14ac:dyDescent="0.35">
      <c r="A7" s="873">
        <v>4</v>
      </c>
      <c r="B7" s="874" t="s">
        <v>1135</v>
      </c>
      <c r="C7" s="875"/>
      <c r="D7" s="48" t="s">
        <v>1132</v>
      </c>
      <c r="E7" s="48">
        <v>1</v>
      </c>
      <c r="F7" s="227">
        <v>1361</v>
      </c>
      <c r="G7" s="876">
        <v>1072</v>
      </c>
      <c r="H7" s="1123" t="s">
        <v>289</v>
      </c>
      <c r="I7" s="878">
        <v>46077</v>
      </c>
    </row>
    <row r="8" spans="1:9" x14ac:dyDescent="0.35">
      <c r="A8" s="873">
        <v>5</v>
      </c>
      <c r="B8" s="874" t="s">
        <v>1136</v>
      </c>
      <c r="C8" s="875"/>
      <c r="D8" s="879" t="s">
        <v>1137</v>
      </c>
      <c r="E8" s="879">
        <v>1</v>
      </c>
      <c r="F8" s="880">
        <v>1077</v>
      </c>
      <c r="G8" s="876">
        <v>833</v>
      </c>
      <c r="H8" s="1123" t="s">
        <v>289</v>
      </c>
      <c r="I8" s="878">
        <v>46077</v>
      </c>
    </row>
    <row r="9" spans="1:9" x14ac:dyDescent="0.35">
      <c r="A9" s="873">
        <v>6</v>
      </c>
      <c r="B9" s="874" t="s">
        <v>1138</v>
      </c>
      <c r="C9" s="875">
        <v>2</v>
      </c>
      <c r="D9" s="48" t="s">
        <v>1139</v>
      </c>
      <c r="E9" s="48">
        <v>1</v>
      </c>
      <c r="F9" s="238">
        <v>935.45600000000013</v>
      </c>
      <c r="G9" s="876">
        <v>678</v>
      </c>
      <c r="H9" s="1122" t="s">
        <v>289</v>
      </c>
      <c r="I9" s="877">
        <v>44973</v>
      </c>
    </row>
    <row r="10" spans="1:9" x14ac:dyDescent="0.35">
      <c r="A10" s="873">
        <v>7</v>
      </c>
      <c r="B10" s="874" t="s">
        <v>1140</v>
      </c>
      <c r="C10" s="875"/>
      <c r="D10" s="48" t="s">
        <v>1141</v>
      </c>
      <c r="E10" s="48">
        <v>1</v>
      </c>
      <c r="F10" s="238">
        <v>510</v>
      </c>
      <c r="G10" s="876">
        <v>301</v>
      </c>
      <c r="H10" s="1123" t="s">
        <v>289</v>
      </c>
      <c r="I10" s="878">
        <v>46077</v>
      </c>
    </row>
    <row r="11" spans="1:9" x14ac:dyDescent="0.35">
      <c r="A11" s="873">
        <v>8</v>
      </c>
      <c r="B11" s="874" t="s">
        <v>1142</v>
      </c>
      <c r="C11" s="875"/>
      <c r="D11" s="879" t="s">
        <v>1143</v>
      </c>
      <c r="E11" s="879">
        <v>1</v>
      </c>
      <c r="F11" s="238">
        <v>1531</v>
      </c>
      <c r="G11" s="876">
        <v>953</v>
      </c>
      <c r="H11" s="1123" t="s">
        <v>289</v>
      </c>
      <c r="I11" s="878">
        <v>46077</v>
      </c>
    </row>
    <row r="12" spans="1:9" x14ac:dyDescent="0.35">
      <c r="A12" s="873">
        <v>9</v>
      </c>
      <c r="B12" s="874" t="s">
        <v>1144</v>
      </c>
      <c r="C12" s="875"/>
      <c r="D12" s="879" t="s">
        <v>1141</v>
      </c>
      <c r="E12" s="879">
        <v>1</v>
      </c>
      <c r="F12" s="238">
        <v>794</v>
      </c>
      <c r="G12" s="876">
        <v>567</v>
      </c>
      <c r="H12" s="1123" t="s">
        <v>289</v>
      </c>
      <c r="I12" s="878">
        <v>46077</v>
      </c>
    </row>
    <row r="13" spans="1:9" x14ac:dyDescent="0.35">
      <c r="A13" s="873">
        <v>10</v>
      </c>
      <c r="B13" s="874" t="s">
        <v>1145</v>
      </c>
      <c r="C13" s="875"/>
      <c r="D13" s="879" t="s">
        <v>1139</v>
      </c>
      <c r="E13" s="879">
        <v>1</v>
      </c>
      <c r="F13" s="238">
        <v>839</v>
      </c>
      <c r="G13" s="876">
        <v>595</v>
      </c>
      <c r="H13" s="1123" t="s">
        <v>289</v>
      </c>
      <c r="I13" s="878">
        <v>46077</v>
      </c>
    </row>
    <row r="14" spans="1:9" x14ac:dyDescent="0.35">
      <c r="A14" s="873">
        <v>11</v>
      </c>
      <c r="B14" s="881" t="s">
        <v>1146</v>
      </c>
      <c r="C14" s="38"/>
      <c r="D14" s="879" t="s">
        <v>671</v>
      </c>
      <c r="E14" s="879">
        <v>4</v>
      </c>
      <c r="F14" s="238">
        <v>4876</v>
      </c>
      <c r="G14" s="876">
        <v>3459</v>
      </c>
      <c r="H14" s="1123" t="s">
        <v>289</v>
      </c>
      <c r="I14" s="878">
        <v>46077</v>
      </c>
    </row>
    <row r="15" spans="1:9" x14ac:dyDescent="0.35">
      <c r="A15" s="873">
        <v>12</v>
      </c>
      <c r="B15" s="881" t="s">
        <v>1147</v>
      </c>
      <c r="C15" s="38"/>
      <c r="D15" s="879" t="s">
        <v>671</v>
      </c>
      <c r="E15" s="879">
        <v>4</v>
      </c>
      <c r="F15" s="238">
        <v>7371</v>
      </c>
      <c r="G15" s="876">
        <v>6430</v>
      </c>
      <c r="H15" s="1123" t="s">
        <v>289</v>
      </c>
      <c r="I15" s="878">
        <v>46077</v>
      </c>
    </row>
    <row r="16" spans="1:9" x14ac:dyDescent="0.35">
      <c r="A16" s="873">
        <v>13</v>
      </c>
      <c r="B16" s="874" t="s">
        <v>1148</v>
      </c>
      <c r="C16" s="875"/>
      <c r="D16" s="48" t="s">
        <v>1141</v>
      </c>
      <c r="E16" s="48">
        <v>1</v>
      </c>
      <c r="F16" s="238">
        <v>454</v>
      </c>
      <c r="G16" s="876">
        <v>261</v>
      </c>
      <c r="H16" s="1123" t="s">
        <v>289</v>
      </c>
      <c r="I16" s="878">
        <v>46077</v>
      </c>
    </row>
    <row r="17" spans="1:9" x14ac:dyDescent="0.35">
      <c r="A17" s="873">
        <v>14</v>
      </c>
      <c r="B17" s="874" t="s">
        <v>1149</v>
      </c>
      <c r="C17" s="875"/>
      <c r="D17" s="48" t="s">
        <v>1141</v>
      </c>
      <c r="E17" s="48">
        <v>1</v>
      </c>
      <c r="F17" s="238">
        <v>454</v>
      </c>
      <c r="G17" s="876">
        <v>261</v>
      </c>
      <c r="H17" s="1123" t="s">
        <v>289</v>
      </c>
      <c r="I17" s="878">
        <v>46077</v>
      </c>
    </row>
    <row r="18" spans="1:9" ht="21" customHeight="1" x14ac:dyDescent="0.35">
      <c r="A18" s="873">
        <v>15</v>
      </c>
      <c r="B18" s="874" t="s">
        <v>1150</v>
      </c>
      <c r="C18" s="875"/>
      <c r="D18" s="48" t="s">
        <v>1139</v>
      </c>
      <c r="E18" s="48">
        <v>1</v>
      </c>
      <c r="F18" s="880">
        <v>1077</v>
      </c>
      <c r="G18" s="876">
        <v>833</v>
      </c>
      <c r="H18" s="1123" t="s">
        <v>289</v>
      </c>
      <c r="I18" s="878">
        <v>46077</v>
      </c>
    </row>
    <row r="19" spans="1:9" x14ac:dyDescent="0.35">
      <c r="A19" s="873">
        <v>16</v>
      </c>
      <c r="B19" s="874" t="s">
        <v>1151</v>
      </c>
      <c r="C19" s="875">
        <v>2.5</v>
      </c>
      <c r="D19" s="48" t="s">
        <v>1139</v>
      </c>
      <c r="E19" s="48">
        <v>1</v>
      </c>
      <c r="F19" s="238">
        <v>1046</v>
      </c>
      <c r="G19" s="876">
        <v>789</v>
      </c>
      <c r="H19" s="1122" t="s">
        <v>289</v>
      </c>
      <c r="I19" s="877">
        <v>44973</v>
      </c>
    </row>
    <row r="20" spans="1:9" ht="36" x14ac:dyDescent="0.35">
      <c r="A20" s="873">
        <v>17</v>
      </c>
      <c r="B20" s="874" t="s">
        <v>1152</v>
      </c>
      <c r="C20" s="882"/>
      <c r="D20" s="23" t="s">
        <v>63</v>
      </c>
      <c r="E20" s="23">
        <v>0</v>
      </c>
      <c r="F20" s="238">
        <v>1123</v>
      </c>
      <c r="G20" s="876">
        <v>0</v>
      </c>
      <c r="H20" s="1124" t="s">
        <v>1153</v>
      </c>
      <c r="I20" s="878">
        <v>46077</v>
      </c>
    </row>
    <row r="21" spans="1:9" ht="36" x14ac:dyDescent="0.35">
      <c r="A21" s="873">
        <v>18</v>
      </c>
      <c r="B21" s="874" t="s">
        <v>1154</v>
      </c>
      <c r="C21" s="875">
        <v>2.5</v>
      </c>
      <c r="D21" s="48" t="s">
        <v>1137</v>
      </c>
      <c r="E21" s="48">
        <v>1</v>
      </c>
      <c r="F21" s="238">
        <v>1326.8</v>
      </c>
      <c r="G21" s="876">
        <v>830</v>
      </c>
      <c r="H21" s="1123" t="s">
        <v>289</v>
      </c>
      <c r="I21" s="878">
        <v>44973</v>
      </c>
    </row>
    <row r="22" spans="1:9" ht="36" x14ac:dyDescent="0.35">
      <c r="A22" s="873">
        <v>19</v>
      </c>
      <c r="B22" s="874" t="s">
        <v>1155</v>
      </c>
      <c r="C22" s="882"/>
      <c r="D22" s="23" t="s">
        <v>1137</v>
      </c>
      <c r="E22" s="23">
        <v>1</v>
      </c>
      <c r="F22" s="227">
        <v>1418</v>
      </c>
      <c r="G22" s="876">
        <v>896</v>
      </c>
      <c r="H22" s="1123" t="s">
        <v>289</v>
      </c>
      <c r="I22" s="878">
        <v>46077</v>
      </c>
    </row>
    <row r="23" spans="1:9" x14ac:dyDescent="0.35">
      <c r="A23" s="873">
        <v>20</v>
      </c>
      <c r="B23" s="881" t="s">
        <v>1156</v>
      </c>
      <c r="C23" s="883"/>
      <c r="D23" s="154" t="s">
        <v>671</v>
      </c>
      <c r="E23" s="154">
        <v>2</v>
      </c>
      <c r="F23" s="238">
        <v>3924</v>
      </c>
      <c r="G23" s="876">
        <v>2597</v>
      </c>
      <c r="H23" s="1123" t="s">
        <v>289</v>
      </c>
      <c r="I23" s="878">
        <v>46077</v>
      </c>
    </row>
    <row r="24" spans="1:9" ht="36" x14ac:dyDescent="0.35">
      <c r="A24" s="873">
        <v>21</v>
      </c>
      <c r="B24" s="874" t="s">
        <v>1157</v>
      </c>
      <c r="C24" s="882"/>
      <c r="D24" s="23" t="s">
        <v>1137</v>
      </c>
      <c r="E24" s="23">
        <v>1</v>
      </c>
      <c r="F24" s="238">
        <v>1270</v>
      </c>
      <c r="G24" s="876">
        <v>930</v>
      </c>
      <c r="H24" s="1123" t="s">
        <v>289</v>
      </c>
      <c r="I24" s="878">
        <v>46077</v>
      </c>
    </row>
    <row r="25" spans="1:9" x14ac:dyDescent="0.35">
      <c r="A25" s="873">
        <v>22</v>
      </c>
      <c r="B25" s="874" t="s">
        <v>1158</v>
      </c>
      <c r="C25" s="882"/>
      <c r="D25" s="154" t="s">
        <v>901</v>
      </c>
      <c r="E25" s="154">
        <v>1</v>
      </c>
      <c r="F25" s="238">
        <v>1247</v>
      </c>
      <c r="G25" s="876">
        <v>896</v>
      </c>
      <c r="H25" s="1123" t="s">
        <v>289</v>
      </c>
      <c r="I25" s="878">
        <v>46077</v>
      </c>
    </row>
    <row r="26" spans="1:9" x14ac:dyDescent="0.35">
      <c r="A26" s="873">
        <v>23</v>
      </c>
      <c r="B26" s="874" t="s">
        <v>1159</v>
      </c>
      <c r="C26" s="882"/>
      <c r="D26" s="154" t="s">
        <v>901</v>
      </c>
      <c r="E26" s="154">
        <v>1</v>
      </c>
      <c r="F26" s="238">
        <v>1247</v>
      </c>
      <c r="G26" s="876">
        <v>896</v>
      </c>
      <c r="H26" s="1123" t="s">
        <v>289</v>
      </c>
      <c r="I26" s="878">
        <v>46077</v>
      </c>
    </row>
    <row r="27" spans="1:9" x14ac:dyDescent="0.35">
      <c r="A27" s="873">
        <v>24</v>
      </c>
      <c r="B27" s="874" t="s">
        <v>1160</v>
      </c>
      <c r="C27" s="882"/>
      <c r="D27" s="23" t="s">
        <v>1137</v>
      </c>
      <c r="E27" s="23">
        <v>1</v>
      </c>
      <c r="F27" s="238">
        <v>1701</v>
      </c>
      <c r="G27" s="876">
        <v>1191</v>
      </c>
      <c r="H27" s="1123" t="s">
        <v>289</v>
      </c>
      <c r="I27" s="878">
        <v>46077</v>
      </c>
    </row>
    <row r="28" spans="1:9" x14ac:dyDescent="0.35">
      <c r="A28" s="873">
        <v>25</v>
      </c>
      <c r="B28" s="874" t="s">
        <v>1161</v>
      </c>
      <c r="C28" s="882"/>
      <c r="D28" s="23" t="s">
        <v>1139</v>
      </c>
      <c r="E28" s="23">
        <v>1</v>
      </c>
      <c r="F28" s="238">
        <v>1077</v>
      </c>
      <c r="G28" s="876">
        <v>833</v>
      </c>
      <c r="H28" s="1123" t="s">
        <v>289</v>
      </c>
      <c r="I28" s="878">
        <v>46077</v>
      </c>
    </row>
    <row r="29" spans="1:9" ht="36" x14ac:dyDescent="0.35">
      <c r="A29" s="873">
        <v>26</v>
      </c>
      <c r="B29" s="874" t="s">
        <v>1162</v>
      </c>
      <c r="C29" s="882"/>
      <c r="D29" s="23" t="s">
        <v>1137</v>
      </c>
      <c r="E29" s="23">
        <v>1</v>
      </c>
      <c r="F29" s="238">
        <v>1872</v>
      </c>
      <c r="G29" s="876">
        <v>1428.8400000000001</v>
      </c>
      <c r="H29" s="1123" t="s">
        <v>289</v>
      </c>
      <c r="I29" s="878">
        <v>46077</v>
      </c>
    </row>
    <row r="30" spans="1:9" ht="36" x14ac:dyDescent="0.35">
      <c r="A30" s="873">
        <v>27</v>
      </c>
      <c r="B30" s="874" t="s">
        <v>1163</v>
      </c>
      <c r="C30" s="875">
        <v>2</v>
      </c>
      <c r="D30" s="48" t="s">
        <v>1137</v>
      </c>
      <c r="E30" s="48">
        <v>1</v>
      </c>
      <c r="F30" s="238">
        <v>1308.2</v>
      </c>
      <c r="G30" s="876">
        <v>726</v>
      </c>
      <c r="H30" s="1122" t="s">
        <v>289</v>
      </c>
      <c r="I30" s="877">
        <v>44973</v>
      </c>
    </row>
    <row r="31" spans="1:9" x14ac:dyDescent="0.35">
      <c r="A31" s="873">
        <v>28</v>
      </c>
      <c r="B31" s="881" t="s">
        <v>1164</v>
      </c>
      <c r="C31" s="38"/>
      <c r="D31" s="51" t="s">
        <v>1165</v>
      </c>
      <c r="E31" s="879">
        <v>4</v>
      </c>
      <c r="F31" s="238">
        <v>4501</v>
      </c>
      <c r="G31" s="876">
        <v>3175</v>
      </c>
      <c r="H31" s="1123" t="s">
        <v>289</v>
      </c>
      <c r="I31" s="878">
        <v>46077</v>
      </c>
    </row>
    <row r="32" spans="1:9" x14ac:dyDescent="0.35">
      <c r="A32" s="873">
        <v>29</v>
      </c>
      <c r="B32" s="881" t="s">
        <v>1166</v>
      </c>
      <c r="C32" s="38"/>
      <c r="D32" s="879" t="s">
        <v>1143</v>
      </c>
      <c r="E32" s="879">
        <v>1</v>
      </c>
      <c r="F32" s="238">
        <v>1459</v>
      </c>
      <c r="G32" s="239">
        <v>907</v>
      </c>
      <c r="H32" s="1123" t="s">
        <v>289</v>
      </c>
      <c r="I32" s="878">
        <v>46077</v>
      </c>
    </row>
    <row r="33" spans="1:9" x14ac:dyDescent="0.35">
      <c r="A33" s="873">
        <v>30</v>
      </c>
      <c r="B33" s="874" t="s">
        <v>1167</v>
      </c>
      <c r="C33" s="875">
        <v>1</v>
      </c>
      <c r="D33" s="48" t="s">
        <v>1139</v>
      </c>
      <c r="E33" s="48">
        <v>1</v>
      </c>
      <c r="F33" s="238">
        <v>983.31999999999994</v>
      </c>
      <c r="G33" s="876">
        <v>630</v>
      </c>
      <c r="H33" s="1122" t="s">
        <v>289</v>
      </c>
      <c r="I33" s="877">
        <v>44973</v>
      </c>
    </row>
    <row r="34" spans="1:9" x14ac:dyDescent="0.35">
      <c r="A34" s="873">
        <v>31</v>
      </c>
      <c r="B34" s="874" t="s">
        <v>1168</v>
      </c>
      <c r="C34" s="875"/>
      <c r="D34" s="48" t="s">
        <v>1137</v>
      </c>
      <c r="E34" s="48">
        <v>1</v>
      </c>
      <c r="F34" s="238">
        <v>1276</v>
      </c>
      <c r="G34" s="239">
        <v>941</v>
      </c>
      <c r="H34" s="1123" t="s">
        <v>289</v>
      </c>
      <c r="I34" s="878">
        <v>46077</v>
      </c>
    </row>
    <row r="35" spans="1:9" x14ac:dyDescent="0.35">
      <c r="A35" s="873">
        <v>32</v>
      </c>
      <c r="B35" s="874" t="s">
        <v>1169</v>
      </c>
      <c r="C35" s="882"/>
      <c r="D35" s="23" t="s">
        <v>1139</v>
      </c>
      <c r="E35" s="23">
        <v>1</v>
      </c>
      <c r="F35" s="238">
        <v>776</v>
      </c>
      <c r="G35" s="876">
        <v>556</v>
      </c>
      <c r="H35" s="1123" t="s">
        <v>289</v>
      </c>
      <c r="I35" s="878">
        <v>46077</v>
      </c>
    </row>
    <row r="36" spans="1:9" x14ac:dyDescent="0.35">
      <c r="A36" s="873">
        <v>33</v>
      </c>
      <c r="B36" s="874" t="s">
        <v>1170</v>
      </c>
      <c r="C36" s="882"/>
      <c r="D36" s="23" t="s">
        <v>1139</v>
      </c>
      <c r="E36" s="23">
        <v>1</v>
      </c>
      <c r="F36" s="238">
        <v>680</v>
      </c>
      <c r="G36" s="876">
        <v>476</v>
      </c>
      <c r="H36" s="1123" t="s">
        <v>289</v>
      </c>
      <c r="I36" s="878">
        <v>46077</v>
      </c>
    </row>
    <row r="37" spans="1:9" ht="36" x14ac:dyDescent="0.35">
      <c r="A37" s="873">
        <v>34</v>
      </c>
      <c r="B37" s="874" t="s">
        <v>1171</v>
      </c>
      <c r="C37" s="882"/>
      <c r="D37" s="154" t="s">
        <v>257</v>
      </c>
      <c r="E37" s="154">
        <v>7</v>
      </c>
      <c r="F37" s="238">
        <v>6000</v>
      </c>
      <c r="G37" s="876">
        <v>4763</v>
      </c>
      <c r="H37" s="1123" t="s">
        <v>289</v>
      </c>
      <c r="I37" s="878">
        <v>46077</v>
      </c>
    </row>
    <row r="38" spans="1:9" x14ac:dyDescent="0.35">
      <c r="A38" s="873">
        <v>35</v>
      </c>
      <c r="B38" s="874" t="s">
        <v>1172</v>
      </c>
      <c r="C38" s="882"/>
      <c r="D38" s="154" t="s">
        <v>257</v>
      </c>
      <c r="E38" s="154">
        <v>2</v>
      </c>
      <c r="F38" s="238">
        <v>2552</v>
      </c>
      <c r="G38" s="876">
        <v>1644</v>
      </c>
      <c r="H38" s="1123" t="s">
        <v>289</v>
      </c>
      <c r="I38" s="878">
        <v>46077</v>
      </c>
    </row>
    <row r="39" spans="1:9" x14ac:dyDescent="0.35">
      <c r="A39" s="873">
        <v>36</v>
      </c>
      <c r="B39" s="874" t="s">
        <v>1173</v>
      </c>
      <c r="C39" s="882"/>
      <c r="D39" s="154" t="s">
        <v>1174</v>
      </c>
      <c r="E39" s="154">
        <v>1</v>
      </c>
      <c r="F39" s="238">
        <v>1715</v>
      </c>
      <c r="G39" s="876">
        <v>1089</v>
      </c>
      <c r="H39" s="1123" t="s">
        <v>289</v>
      </c>
      <c r="I39" s="878">
        <v>46077</v>
      </c>
    </row>
    <row r="40" spans="1:9" ht="30" x14ac:dyDescent="0.35">
      <c r="A40" s="873">
        <v>37</v>
      </c>
      <c r="B40" s="874" t="s">
        <v>1175</v>
      </c>
      <c r="C40" s="882"/>
      <c r="D40" s="23" t="s">
        <v>212</v>
      </c>
      <c r="E40" s="884" t="s">
        <v>1176</v>
      </c>
      <c r="F40" s="238">
        <v>624</v>
      </c>
      <c r="G40" s="876">
        <v>581</v>
      </c>
      <c r="H40" s="1123" t="s">
        <v>289</v>
      </c>
      <c r="I40" s="878">
        <v>46077</v>
      </c>
    </row>
    <row r="41" spans="1:9" ht="18.75" customHeight="1" x14ac:dyDescent="0.35">
      <c r="A41" s="873">
        <v>38</v>
      </c>
      <c r="B41" s="874" t="s">
        <v>1175</v>
      </c>
      <c r="C41" s="875">
        <v>1</v>
      </c>
      <c r="D41" s="48" t="s">
        <v>212</v>
      </c>
      <c r="E41" s="48">
        <v>1</v>
      </c>
      <c r="F41" s="238">
        <v>950</v>
      </c>
      <c r="G41" s="876">
        <v>910</v>
      </c>
      <c r="H41" s="1122" t="s">
        <v>289</v>
      </c>
      <c r="I41" s="877">
        <v>44973</v>
      </c>
    </row>
    <row r="42" spans="1:9" x14ac:dyDescent="0.35">
      <c r="A42" s="873">
        <v>39</v>
      </c>
      <c r="B42" s="881" t="s">
        <v>1177</v>
      </c>
      <c r="C42" s="38"/>
      <c r="D42" s="879" t="s">
        <v>1143</v>
      </c>
      <c r="E42" s="879">
        <v>3</v>
      </c>
      <c r="F42" s="227">
        <v>2980</v>
      </c>
      <c r="G42" s="876">
        <v>2268</v>
      </c>
      <c r="H42" s="1123" t="s">
        <v>289</v>
      </c>
      <c r="I42" s="878">
        <v>46077</v>
      </c>
    </row>
    <row r="43" spans="1:9" x14ac:dyDescent="0.35">
      <c r="A43" s="873">
        <v>40</v>
      </c>
      <c r="B43" s="881" t="s">
        <v>1178</v>
      </c>
      <c r="C43" s="883"/>
      <c r="D43" s="154"/>
      <c r="E43" s="154"/>
      <c r="F43" s="238">
        <v>1123</v>
      </c>
      <c r="G43" s="876">
        <v>589</v>
      </c>
      <c r="H43" s="1123" t="s">
        <v>289</v>
      </c>
      <c r="I43" s="878">
        <v>46077</v>
      </c>
    </row>
    <row r="44" spans="1:9" x14ac:dyDescent="0.35">
      <c r="A44" s="873">
        <v>41</v>
      </c>
      <c r="B44" s="885" t="s">
        <v>1179</v>
      </c>
      <c r="C44" s="886"/>
      <c r="D44" s="23" t="s">
        <v>1137</v>
      </c>
      <c r="E44" s="23">
        <v>1</v>
      </c>
      <c r="F44" s="238">
        <v>776</v>
      </c>
      <c r="G44" s="876">
        <v>510</v>
      </c>
      <c r="H44" s="1123" t="s">
        <v>289</v>
      </c>
      <c r="I44" s="878">
        <v>46077</v>
      </c>
    </row>
    <row r="45" spans="1:9" x14ac:dyDescent="0.35">
      <c r="A45" s="873">
        <v>42</v>
      </c>
      <c r="B45" s="885" t="s">
        <v>1180</v>
      </c>
      <c r="C45" s="886"/>
      <c r="D45" s="154" t="s">
        <v>1137</v>
      </c>
      <c r="E45" s="154">
        <v>1</v>
      </c>
      <c r="F45" s="238">
        <v>776</v>
      </c>
      <c r="G45" s="876">
        <v>510</v>
      </c>
      <c r="H45" s="1123" t="s">
        <v>289</v>
      </c>
      <c r="I45" s="878">
        <v>46077</v>
      </c>
    </row>
    <row r="46" spans="1:9" x14ac:dyDescent="0.35">
      <c r="A46" s="873">
        <v>43</v>
      </c>
      <c r="B46" s="874" t="s">
        <v>1181</v>
      </c>
      <c r="C46" s="875"/>
      <c r="D46" s="48" t="s">
        <v>1182</v>
      </c>
      <c r="E46" s="48">
        <v>1</v>
      </c>
      <c r="F46" s="238">
        <v>521</v>
      </c>
      <c r="G46" s="887">
        <v>442</v>
      </c>
      <c r="H46" s="1125" t="s">
        <v>289</v>
      </c>
      <c r="I46" s="878">
        <v>46077</v>
      </c>
    </row>
    <row r="47" spans="1:9" ht="18.75" thickBot="1" x14ac:dyDescent="0.4">
      <c r="A47" s="873">
        <v>44</v>
      </c>
      <c r="B47" s="888" t="s">
        <v>1181</v>
      </c>
      <c r="C47" s="889"/>
      <c r="D47" s="890" t="s">
        <v>1182</v>
      </c>
      <c r="E47" s="890">
        <v>0</v>
      </c>
      <c r="F47" s="238">
        <v>521</v>
      </c>
      <c r="G47" s="239">
        <v>442</v>
      </c>
      <c r="H47" s="879" t="s">
        <v>289</v>
      </c>
      <c r="I47" s="891">
        <v>46077</v>
      </c>
    </row>
    <row r="48" spans="1:9" ht="36" x14ac:dyDescent="0.25">
      <c r="A48" s="1605">
        <v>45</v>
      </c>
      <c r="B48" s="1608" t="s">
        <v>1183</v>
      </c>
      <c r="C48" s="892">
        <v>2</v>
      </c>
      <c r="D48" s="869" t="s">
        <v>1139</v>
      </c>
      <c r="E48" s="869">
        <v>1</v>
      </c>
      <c r="F48" s="893">
        <v>1035</v>
      </c>
      <c r="G48" s="894">
        <v>879.75</v>
      </c>
      <c r="H48" s="1126" t="s">
        <v>1184</v>
      </c>
      <c r="I48" s="872">
        <v>44973</v>
      </c>
    </row>
    <row r="49" spans="1:45" ht="36" x14ac:dyDescent="0.25">
      <c r="A49" s="1606"/>
      <c r="B49" s="1609"/>
      <c r="C49" s="875">
        <v>3</v>
      </c>
      <c r="D49" s="48" t="s">
        <v>1139</v>
      </c>
      <c r="E49" s="48">
        <v>1</v>
      </c>
      <c r="F49" s="895">
        <v>1204</v>
      </c>
      <c r="G49" s="876">
        <v>1023.4</v>
      </c>
      <c r="H49" s="1122" t="s">
        <v>1184</v>
      </c>
      <c r="I49" s="877">
        <v>44973</v>
      </c>
    </row>
    <row r="50" spans="1:45" ht="36" x14ac:dyDescent="0.25">
      <c r="A50" s="1606"/>
      <c r="B50" s="1609"/>
      <c r="C50" s="875">
        <v>4</v>
      </c>
      <c r="D50" s="48" t="s">
        <v>1139</v>
      </c>
      <c r="E50" s="48">
        <v>1</v>
      </c>
      <c r="F50" s="895">
        <v>1372</v>
      </c>
      <c r="G50" s="876">
        <v>1166.2</v>
      </c>
      <c r="H50" s="1122" t="s">
        <v>1184</v>
      </c>
      <c r="I50" s="877">
        <v>44973</v>
      </c>
    </row>
    <row r="51" spans="1:45" ht="36.75" thickBot="1" x14ac:dyDescent="0.3">
      <c r="A51" s="1607"/>
      <c r="B51" s="1610"/>
      <c r="C51" s="889">
        <v>5</v>
      </c>
      <c r="D51" s="890" t="s">
        <v>1139</v>
      </c>
      <c r="E51" s="890">
        <v>1</v>
      </c>
      <c r="F51" s="896">
        <v>1541</v>
      </c>
      <c r="G51" s="887">
        <v>1309.8499999999999</v>
      </c>
      <c r="H51" s="1127" t="s">
        <v>1184</v>
      </c>
      <c r="I51" s="897">
        <v>44973</v>
      </c>
    </row>
    <row r="52" spans="1:45" x14ac:dyDescent="0.35">
      <c r="A52" s="898">
        <v>46</v>
      </c>
      <c r="B52" s="899" t="s">
        <v>1185</v>
      </c>
      <c r="C52" s="882"/>
      <c r="D52" s="23" t="s">
        <v>1186</v>
      </c>
      <c r="E52" s="23">
        <v>1</v>
      </c>
      <c r="F52" s="238">
        <v>1665.3600000000001</v>
      </c>
      <c r="G52" s="239">
        <v>260.82</v>
      </c>
      <c r="H52" s="879" t="s">
        <v>289</v>
      </c>
      <c r="I52" s="891">
        <v>46077</v>
      </c>
    </row>
    <row r="53" spans="1:45" x14ac:dyDescent="0.35">
      <c r="A53" s="873">
        <v>47</v>
      </c>
      <c r="B53" s="899" t="s">
        <v>1187</v>
      </c>
      <c r="C53" s="882"/>
      <c r="D53" s="23" t="s">
        <v>1186</v>
      </c>
      <c r="E53" s="23">
        <v>1</v>
      </c>
      <c r="F53" s="238">
        <v>1666.44</v>
      </c>
      <c r="G53" s="894">
        <v>680.40000000000009</v>
      </c>
      <c r="H53" s="1128" t="s">
        <v>289</v>
      </c>
      <c r="I53" s="878">
        <v>46077</v>
      </c>
    </row>
    <row r="54" spans="1:45" x14ac:dyDescent="0.35">
      <c r="A54" s="900">
        <v>48</v>
      </c>
      <c r="B54" s="899" t="s">
        <v>1188</v>
      </c>
      <c r="C54" s="882"/>
      <c r="D54" s="23" t="s">
        <v>1186</v>
      </c>
      <c r="E54" s="23">
        <v>1</v>
      </c>
      <c r="F54" s="238">
        <v>1667.5200000000002</v>
      </c>
      <c r="G54" s="876">
        <v>601.0200000000001</v>
      </c>
      <c r="H54" s="1123" t="s">
        <v>289</v>
      </c>
      <c r="I54" s="878">
        <v>46077</v>
      </c>
    </row>
    <row r="55" spans="1:45" x14ac:dyDescent="0.35">
      <c r="A55" s="873">
        <v>49</v>
      </c>
      <c r="B55" s="899" t="s">
        <v>1189</v>
      </c>
      <c r="C55" s="882"/>
      <c r="D55" s="154" t="s">
        <v>1141</v>
      </c>
      <c r="E55" s="154">
        <v>1</v>
      </c>
      <c r="F55" s="238">
        <v>1668.6000000000001</v>
      </c>
      <c r="G55" s="876">
        <v>771.57360000000006</v>
      </c>
      <c r="H55" s="1123" t="s">
        <v>289</v>
      </c>
      <c r="I55" s="878">
        <v>46077</v>
      </c>
    </row>
    <row r="56" spans="1:45" x14ac:dyDescent="0.35">
      <c r="A56" s="900">
        <v>50</v>
      </c>
      <c r="B56" s="899" t="s">
        <v>1190</v>
      </c>
      <c r="C56" s="882"/>
      <c r="D56" s="154" t="s">
        <v>1191</v>
      </c>
      <c r="E56" s="154">
        <v>1</v>
      </c>
      <c r="F56" s="238">
        <v>1669.68</v>
      </c>
      <c r="G56" s="876">
        <v>782.46</v>
      </c>
      <c r="H56" s="1123" t="s">
        <v>289</v>
      </c>
      <c r="I56" s="878">
        <v>46077</v>
      </c>
    </row>
    <row r="57" spans="1:45" x14ac:dyDescent="0.35">
      <c r="A57" s="873">
        <v>51</v>
      </c>
      <c r="B57" s="899" t="s">
        <v>1192</v>
      </c>
      <c r="C57" s="882"/>
      <c r="D57" s="154" t="s">
        <v>1141</v>
      </c>
      <c r="E57" s="154">
        <v>1</v>
      </c>
      <c r="F57" s="238">
        <v>1670.7600000000002</v>
      </c>
      <c r="G57" s="876">
        <v>623.70000000000005</v>
      </c>
      <c r="H57" s="1123" t="s">
        <v>289</v>
      </c>
      <c r="I57" s="878">
        <v>46077</v>
      </c>
    </row>
    <row r="58" spans="1:45" x14ac:dyDescent="0.35">
      <c r="A58" s="900">
        <v>52</v>
      </c>
      <c r="B58" s="899" t="s">
        <v>1193</v>
      </c>
      <c r="C58" s="882"/>
      <c r="D58" s="17" t="s">
        <v>212</v>
      </c>
      <c r="E58" s="154">
        <v>0</v>
      </c>
      <c r="F58" s="238">
        <v>1671.8400000000001</v>
      </c>
      <c r="G58" s="876">
        <v>782.46</v>
      </c>
      <c r="H58" s="1123" t="s">
        <v>289</v>
      </c>
      <c r="I58" s="878">
        <v>46077</v>
      </c>
    </row>
    <row r="59" spans="1:45" ht="18.75" thickBot="1" x14ac:dyDescent="0.4">
      <c r="A59" s="901">
        <v>53</v>
      </c>
      <c r="B59" s="902" t="s">
        <v>1194</v>
      </c>
      <c r="C59" s="903"/>
      <c r="D59" s="57" t="s">
        <v>212</v>
      </c>
      <c r="E59" s="508">
        <v>0</v>
      </c>
      <c r="F59" s="904">
        <v>1672.92</v>
      </c>
      <c r="G59" s="905">
        <v>952.56000000000006</v>
      </c>
      <c r="H59" s="1129" t="s">
        <v>289</v>
      </c>
      <c r="I59" s="906">
        <v>46077</v>
      </c>
    </row>
    <row r="60" spans="1:45" ht="18.75" thickBot="1" x14ac:dyDescent="0.4">
      <c r="B60" s="20"/>
      <c r="C60" s="20"/>
      <c r="D60" s="20"/>
      <c r="E60" s="20"/>
      <c r="F60"/>
      <c r="G60"/>
      <c r="H60" s="20"/>
      <c r="I60" s="20"/>
    </row>
    <row r="61" spans="1:45" s="1" customFormat="1" ht="59.25" customHeight="1" thickBot="1" x14ac:dyDescent="0.35">
      <c r="A61" s="728"/>
      <c r="B61" s="343" t="s">
        <v>77</v>
      </c>
      <c r="C61" s="1459" t="s">
        <v>78</v>
      </c>
      <c r="D61" s="1460"/>
      <c r="E61" s="275"/>
      <c r="F61" s="275"/>
      <c r="G61" s="275"/>
      <c r="H61" s="275"/>
      <c r="I61" s="275"/>
      <c r="J61" s="275"/>
      <c r="K61" s="275"/>
      <c r="L61" s="275"/>
      <c r="M61" s="275"/>
      <c r="N61" s="275"/>
      <c r="O61" s="275"/>
      <c r="P61" s="275"/>
      <c r="Q61" s="275"/>
      <c r="R61" s="275"/>
      <c r="S61" s="275"/>
      <c r="T61" s="275"/>
      <c r="U61" s="275"/>
      <c r="V61" s="275"/>
      <c r="W61" s="275"/>
      <c r="X61" s="275"/>
      <c r="Y61" s="275"/>
      <c r="Z61" s="275"/>
      <c r="AA61" s="275"/>
      <c r="AB61" s="275"/>
      <c r="AC61" s="275"/>
      <c r="AD61" s="275"/>
      <c r="AE61" s="275"/>
      <c r="AF61" s="275"/>
      <c r="AG61" s="275"/>
      <c r="AH61" s="275"/>
      <c r="AI61" s="275"/>
      <c r="AJ61" s="275"/>
      <c r="AK61" s="275"/>
      <c r="AL61" s="275"/>
      <c r="AM61" s="275"/>
      <c r="AN61" s="275"/>
      <c r="AO61" s="275"/>
      <c r="AP61" s="275"/>
      <c r="AQ61" s="275"/>
      <c r="AR61" s="275"/>
      <c r="AS61" s="275"/>
    </row>
    <row r="62" spans="1:45" s="1" customFormat="1" ht="24.95" customHeight="1" x14ac:dyDescent="0.3">
      <c r="A62" s="728"/>
      <c r="B62" s="1042" t="s">
        <v>79</v>
      </c>
      <c r="C62" s="1461">
        <v>160</v>
      </c>
      <c r="D62" s="1462"/>
      <c r="E62" s="275"/>
      <c r="F62" s="275"/>
      <c r="G62" s="275"/>
      <c r="H62" s="275"/>
      <c r="I62" s="275"/>
      <c r="J62" s="275"/>
      <c r="K62" s="275"/>
      <c r="L62" s="275"/>
      <c r="M62" s="275"/>
      <c r="N62" s="275"/>
      <c r="O62" s="275"/>
      <c r="P62" s="275"/>
      <c r="Q62" s="275"/>
      <c r="R62" s="275"/>
      <c r="S62" s="275"/>
      <c r="T62" s="275"/>
      <c r="U62" s="275"/>
      <c r="V62" s="275"/>
      <c r="W62" s="275"/>
      <c r="X62" s="275"/>
      <c r="Y62" s="275"/>
      <c r="Z62" s="275"/>
      <c r="AA62" s="275"/>
      <c r="AB62" s="275"/>
      <c r="AC62" s="275"/>
      <c r="AD62" s="275"/>
      <c r="AE62" s="275"/>
      <c r="AF62" s="275"/>
      <c r="AG62" s="275"/>
      <c r="AH62" s="275"/>
      <c r="AI62" s="275"/>
      <c r="AJ62" s="275"/>
      <c r="AK62" s="275"/>
      <c r="AL62" s="275"/>
      <c r="AM62" s="275"/>
      <c r="AN62" s="275"/>
      <c r="AO62" s="275"/>
      <c r="AP62" s="275"/>
      <c r="AQ62" s="275"/>
      <c r="AR62" s="275"/>
      <c r="AS62" s="275"/>
    </row>
    <row r="63" spans="1:45" s="1" customFormat="1" ht="24.95" customHeight="1" x14ac:dyDescent="0.3">
      <c r="A63" s="728"/>
      <c r="B63" s="1013" t="s">
        <v>80</v>
      </c>
      <c r="C63" s="1451">
        <v>380</v>
      </c>
      <c r="D63" s="1452"/>
      <c r="E63" s="275"/>
      <c r="F63" s="275"/>
      <c r="G63" s="275"/>
      <c r="H63" s="275"/>
      <c r="I63" s="275"/>
      <c r="J63" s="275"/>
      <c r="K63" s="275"/>
      <c r="L63" s="275"/>
      <c r="M63" s="275"/>
      <c r="N63" s="275"/>
      <c r="O63" s="275"/>
      <c r="P63" s="275"/>
      <c r="Q63" s="275"/>
      <c r="R63" s="275"/>
      <c r="S63" s="275"/>
      <c r="T63" s="275"/>
      <c r="U63" s="275"/>
      <c r="V63" s="275"/>
      <c r="W63" s="275"/>
      <c r="X63" s="275"/>
      <c r="Y63" s="275"/>
      <c r="Z63" s="275"/>
      <c r="AA63" s="275"/>
      <c r="AB63" s="275"/>
      <c r="AC63" s="275"/>
      <c r="AD63" s="275"/>
      <c r="AE63" s="275"/>
      <c r="AF63" s="275"/>
      <c r="AG63" s="275"/>
      <c r="AH63" s="275"/>
      <c r="AI63" s="275"/>
      <c r="AJ63" s="275"/>
      <c r="AK63" s="275"/>
      <c r="AL63" s="275"/>
      <c r="AM63" s="275"/>
      <c r="AN63" s="275"/>
      <c r="AO63" s="275"/>
      <c r="AP63" s="275"/>
      <c r="AQ63" s="275"/>
      <c r="AR63" s="275"/>
      <c r="AS63" s="275"/>
    </row>
    <row r="64" spans="1:45" s="1" customFormat="1" ht="24.95" customHeight="1" x14ac:dyDescent="0.3">
      <c r="A64" s="728"/>
      <c r="B64" s="1013" t="s">
        <v>81</v>
      </c>
      <c r="C64" s="1451">
        <v>485</v>
      </c>
      <c r="D64" s="1452"/>
      <c r="E64" s="275"/>
      <c r="F64" s="275"/>
      <c r="G64" s="275"/>
      <c r="H64" s="275"/>
      <c r="I64" s="275"/>
      <c r="J64" s="275"/>
      <c r="K64" s="275"/>
      <c r="L64" s="275"/>
      <c r="M64" s="275"/>
      <c r="N64" s="275"/>
      <c r="O64" s="275"/>
      <c r="P64" s="275"/>
      <c r="Q64" s="275"/>
      <c r="R64" s="275"/>
      <c r="S64" s="275"/>
      <c r="T64" s="275"/>
      <c r="U64" s="275"/>
      <c r="V64" s="275"/>
      <c r="W64" s="275"/>
      <c r="X64" s="275"/>
      <c r="Y64" s="275"/>
      <c r="Z64" s="275"/>
      <c r="AA64" s="275"/>
      <c r="AB64" s="275"/>
      <c r="AC64" s="275"/>
      <c r="AD64" s="275"/>
      <c r="AE64" s="275"/>
      <c r="AF64" s="275"/>
      <c r="AG64" s="275"/>
      <c r="AH64" s="275"/>
      <c r="AI64" s="275"/>
      <c r="AJ64" s="275"/>
      <c r="AK64" s="275"/>
      <c r="AL64" s="275"/>
      <c r="AM64" s="275"/>
      <c r="AN64" s="275"/>
      <c r="AO64" s="275"/>
      <c r="AP64" s="275"/>
      <c r="AQ64" s="275"/>
      <c r="AR64" s="275"/>
      <c r="AS64" s="275"/>
    </row>
    <row r="65" spans="1:45" s="1" customFormat="1" ht="24.95" customHeight="1" x14ac:dyDescent="0.3">
      <c r="A65" s="728"/>
      <c r="B65" s="1014" t="s">
        <v>82</v>
      </c>
      <c r="C65" s="1451">
        <v>540</v>
      </c>
      <c r="D65" s="1452"/>
      <c r="E65" s="275"/>
      <c r="F65" s="275"/>
      <c r="G65" s="275"/>
      <c r="H65" s="275"/>
      <c r="I65" s="275"/>
      <c r="J65" s="275"/>
      <c r="K65" s="275"/>
      <c r="L65" s="275"/>
      <c r="M65" s="275"/>
      <c r="N65" s="275"/>
      <c r="O65" s="275"/>
      <c r="P65" s="275"/>
      <c r="Q65" s="275"/>
      <c r="R65" s="275"/>
      <c r="S65" s="275"/>
      <c r="T65" s="275"/>
      <c r="U65" s="275"/>
      <c r="V65" s="275"/>
      <c r="W65" s="275"/>
      <c r="X65" s="275"/>
      <c r="Y65" s="275"/>
      <c r="Z65" s="275"/>
      <c r="AA65" s="275"/>
      <c r="AB65" s="275"/>
      <c r="AC65" s="275"/>
      <c r="AD65" s="275"/>
      <c r="AE65" s="275"/>
      <c r="AF65" s="275"/>
      <c r="AG65" s="275"/>
      <c r="AH65" s="275"/>
      <c r="AI65" s="275"/>
      <c r="AJ65" s="275"/>
      <c r="AK65" s="275"/>
      <c r="AL65" s="275"/>
      <c r="AM65" s="275"/>
      <c r="AN65" s="275"/>
      <c r="AO65" s="275"/>
      <c r="AP65" s="275"/>
      <c r="AQ65" s="275"/>
      <c r="AR65" s="275"/>
      <c r="AS65" s="275"/>
    </row>
    <row r="66" spans="1:45" s="1" customFormat="1" ht="24.95" customHeight="1" thickBot="1" x14ac:dyDescent="0.35">
      <c r="A66" s="728"/>
      <c r="B66" s="1015" t="s">
        <v>83</v>
      </c>
      <c r="C66" s="1449">
        <v>760</v>
      </c>
      <c r="D66" s="1450"/>
      <c r="E66" s="275"/>
      <c r="F66" s="275"/>
      <c r="G66" s="275"/>
      <c r="H66" s="275"/>
      <c r="I66" s="275"/>
      <c r="J66" s="275"/>
      <c r="K66" s="275"/>
      <c r="L66" s="275"/>
      <c r="M66" s="275"/>
      <c r="N66" s="275"/>
      <c r="O66" s="275"/>
      <c r="P66" s="275"/>
      <c r="Q66" s="275"/>
      <c r="R66" s="275"/>
      <c r="S66" s="275"/>
      <c r="T66" s="275"/>
      <c r="U66" s="275"/>
      <c r="V66" s="275"/>
      <c r="W66" s="275"/>
      <c r="X66" s="275"/>
      <c r="Y66" s="275"/>
      <c r="Z66" s="275"/>
      <c r="AA66" s="275"/>
      <c r="AB66" s="275"/>
      <c r="AC66" s="275"/>
      <c r="AD66" s="275"/>
      <c r="AE66" s="275"/>
      <c r="AF66" s="275"/>
      <c r="AG66" s="275"/>
      <c r="AH66" s="275"/>
      <c r="AI66" s="275"/>
      <c r="AJ66" s="275"/>
      <c r="AK66" s="275"/>
      <c r="AL66" s="275"/>
      <c r="AM66" s="275"/>
      <c r="AN66" s="275"/>
      <c r="AO66" s="275"/>
      <c r="AP66" s="275"/>
      <c r="AQ66" s="275"/>
      <c r="AR66" s="275"/>
      <c r="AS66" s="275"/>
    </row>
    <row r="68" spans="1:45" s="1" customFormat="1" ht="22.5" customHeight="1" x14ac:dyDescent="0.3">
      <c r="B68" s="1200" t="s">
        <v>273</v>
      </c>
      <c r="C68" s="1200"/>
      <c r="D68" s="1200"/>
      <c r="E68" s="1200"/>
      <c r="F68" s="1200"/>
      <c r="G68"/>
      <c r="H68"/>
      <c r="I68"/>
      <c r="J68"/>
      <c r="K68"/>
      <c r="L68"/>
      <c r="M68"/>
    </row>
    <row r="69" spans="1:45" s="20" customFormat="1" ht="21" customHeight="1" x14ac:dyDescent="0.3">
      <c r="B69" s="1225" t="s">
        <v>85</v>
      </c>
      <c r="C69" s="1226"/>
      <c r="D69" s="1226"/>
      <c r="E69" s="1226"/>
      <c r="F69" s="1226"/>
      <c r="G69" s="1226"/>
      <c r="H69" s="1226"/>
      <c r="I69" s="1226"/>
      <c r="J69" s="1330"/>
      <c r="N69" s="65"/>
    </row>
    <row r="70" spans="1:45" s="20" customFormat="1" ht="58.5" customHeight="1" x14ac:dyDescent="0.3">
      <c r="B70" s="1178" t="s">
        <v>95</v>
      </c>
      <c r="C70" s="1178"/>
      <c r="D70" s="1178"/>
      <c r="E70" s="1178"/>
      <c r="F70" s="1178"/>
      <c r="G70" s="1178"/>
      <c r="H70" s="1178"/>
      <c r="I70" s="1178"/>
      <c r="J70" s="1178"/>
      <c r="N70" s="65"/>
    </row>
    <row r="71" spans="1:45" s="20" customFormat="1" ht="56.25" customHeight="1" x14ac:dyDescent="0.3">
      <c r="B71" s="1178" t="s">
        <v>96</v>
      </c>
      <c r="C71" s="1178"/>
      <c r="D71" s="1178"/>
      <c r="E71" s="1178"/>
      <c r="F71" s="1178"/>
      <c r="G71" s="1178"/>
      <c r="H71" s="1178"/>
      <c r="I71" s="1178"/>
      <c r="J71" s="1178"/>
      <c r="N71" s="65"/>
    </row>
    <row r="72" spans="1:45" s="20" customFormat="1" ht="36.75" customHeight="1" x14ac:dyDescent="0.3">
      <c r="B72" s="1178" t="s">
        <v>97</v>
      </c>
      <c r="C72" s="1178"/>
      <c r="D72" s="1178"/>
      <c r="E72" s="1178"/>
      <c r="F72" s="1178"/>
      <c r="G72" s="1178"/>
      <c r="H72" s="1178"/>
      <c r="I72" s="1178"/>
      <c r="J72" s="1178"/>
      <c r="N72" s="65"/>
    </row>
    <row r="73" spans="1:45" s="20" customFormat="1" ht="66.75" customHeight="1" x14ac:dyDescent="0.3">
      <c r="B73" s="1209" t="s">
        <v>879</v>
      </c>
      <c r="C73" s="1210"/>
      <c r="D73" s="1210"/>
      <c r="E73" s="1210"/>
      <c r="F73" s="1210"/>
      <c r="G73" s="1210"/>
      <c r="H73" s="1210"/>
      <c r="I73" s="1210"/>
      <c r="J73" s="1331"/>
      <c r="N73" s="65"/>
    </row>
    <row r="74" spans="1:45" s="20" customFormat="1" ht="27.75" customHeight="1" x14ac:dyDescent="0.3">
      <c r="B74" s="1178" t="s">
        <v>99</v>
      </c>
      <c r="C74" s="1178"/>
      <c r="D74" s="1178"/>
      <c r="E74" s="1178"/>
      <c r="F74" s="1178"/>
      <c r="G74" s="1178"/>
      <c r="H74" s="1178"/>
      <c r="I74" s="1178"/>
      <c r="J74" s="1178"/>
      <c r="N74" s="65"/>
    </row>
    <row r="75" spans="1:45" s="20" customFormat="1" ht="21.75" customHeight="1" x14ac:dyDescent="0.3">
      <c r="B75" s="1178" t="s">
        <v>100</v>
      </c>
      <c r="C75" s="1178"/>
      <c r="D75" s="1178"/>
      <c r="E75" s="1178"/>
      <c r="F75" s="1178"/>
      <c r="G75" s="1178"/>
      <c r="H75" s="1178"/>
      <c r="I75" s="1178"/>
      <c r="J75" s="1178"/>
      <c r="N75" s="65"/>
    </row>
    <row r="76" spans="1:45" s="20" customFormat="1" ht="47.25" customHeight="1" x14ac:dyDescent="0.3">
      <c r="B76" s="1209" t="s">
        <v>101</v>
      </c>
      <c r="C76" s="1210"/>
      <c r="D76" s="1210"/>
      <c r="E76" s="1210"/>
      <c r="F76" s="1210"/>
      <c r="G76" s="1210"/>
      <c r="H76" s="1210"/>
      <c r="I76" s="1210"/>
      <c r="J76" s="1331"/>
      <c r="N76" s="65"/>
    </row>
    <row r="77" spans="1:45" s="20" customFormat="1" ht="74.099999999999994" customHeight="1" x14ac:dyDescent="0.3">
      <c r="B77" s="1178" t="s">
        <v>102</v>
      </c>
      <c r="C77" s="1178"/>
      <c r="D77" s="1178"/>
      <c r="E77" s="1178"/>
      <c r="F77" s="1178"/>
      <c r="G77" s="1178"/>
      <c r="H77" s="1178"/>
      <c r="I77" s="1178"/>
      <c r="J77" s="1178"/>
      <c r="N77" s="65"/>
    </row>
    <row r="78" spans="1:45" s="20" customFormat="1" ht="24.75" customHeight="1" x14ac:dyDescent="0.3">
      <c r="B78" s="733"/>
      <c r="C78" s="733"/>
      <c r="D78" s="733"/>
      <c r="E78" s="733"/>
      <c r="F78" s="279"/>
      <c r="G78" s="279"/>
      <c r="H78" s="279"/>
      <c r="I78" s="279"/>
      <c r="J78" s="279"/>
      <c r="N78" s="65"/>
    </row>
    <row r="79" spans="1:45" s="20" customFormat="1" ht="26.25" customHeight="1" x14ac:dyDescent="0.35">
      <c r="B79" s="1213" t="s">
        <v>86</v>
      </c>
      <c r="C79" s="1213"/>
      <c r="D79" s="1213"/>
      <c r="E79" s="1213"/>
      <c r="F79" s="62"/>
      <c r="G79" s="3"/>
      <c r="H79" s="64"/>
      <c r="I79" s="3"/>
      <c r="J79" s="3"/>
      <c r="N79" s="65"/>
    </row>
    <row r="80" spans="1:45" s="20" customFormat="1" ht="139.5" customHeight="1" x14ac:dyDescent="0.35">
      <c r="B80" s="1177" t="s">
        <v>275</v>
      </c>
      <c r="C80" s="1177"/>
      <c r="D80" s="1177"/>
      <c r="E80" s="1177"/>
      <c r="F80" s="63"/>
      <c r="G80" s="64"/>
      <c r="H80" s="64"/>
      <c r="I80" s="3"/>
      <c r="J80" s="3"/>
      <c r="N80" s="65"/>
    </row>
    <row r="81" spans="2:14" s="20" customFormat="1" ht="54.75" customHeight="1" x14ac:dyDescent="0.35">
      <c r="B81" s="1177" t="s">
        <v>314</v>
      </c>
      <c r="C81" s="1177"/>
      <c r="D81" s="1177"/>
      <c r="E81" s="1177"/>
      <c r="F81" s="62"/>
      <c r="G81" s="3"/>
      <c r="H81" s="64"/>
      <c r="I81" s="3"/>
      <c r="J81" s="3"/>
      <c r="N81" s="65"/>
    </row>
    <row r="82" spans="2:14" s="20" customFormat="1" ht="41.25" customHeight="1" x14ac:dyDescent="0.35">
      <c r="B82" s="1178" t="s">
        <v>277</v>
      </c>
      <c r="C82" s="1178"/>
      <c r="D82" s="1178"/>
      <c r="E82" s="1178"/>
      <c r="F82" s="63"/>
      <c r="G82" s="64"/>
      <c r="H82" s="64"/>
      <c r="I82" s="3"/>
      <c r="J82" s="3"/>
      <c r="N82" s="65"/>
    </row>
    <row r="83" spans="2:14" s="20" customFormat="1" ht="42" customHeight="1" x14ac:dyDescent="0.35">
      <c r="B83" s="1177" t="s">
        <v>89</v>
      </c>
      <c r="C83" s="1177"/>
      <c r="D83" s="1177"/>
      <c r="E83" s="1177"/>
      <c r="F83" s="62"/>
      <c r="G83" s="3"/>
      <c r="H83" s="64"/>
      <c r="I83" s="3"/>
      <c r="J83" s="3"/>
      <c r="N83" s="65"/>
    </row>
    <row r="84" spans="2:14" s="20" customFormat="1" ht="24" customHeight="1" x14ac:dyDescent="0.35">
      <c r="B84" s="1178" t="s">
        <v>90</v>
      </c>
      <c r="C84" s="1178"/>
      <c r="D84" s="1178"/>
      <c r="E84" s="1178"/>
      <c r="F84" s="62"/>
      <c r="G84" s="3"/>
      <c r="H84" s="64"/>
      <c r="I84" s="3"/>
      <c r="J84" s="3"/>
      <c r="N84" s="65"/>
    </row>
    <row r="85" spans="2:14" s="20" customFormat="1" ht="21" customHeight="1" x14ac:dyDescent="0.35">
      <c r="B85" s="1178" t="s">
        <v>278</v>
      </c>
      <c r="C85" s="1178"/>
      <c r="D85" s="1178"/>
      <c r="E85" s="1178"/>
      <c r="F85" s="62"/>
      <c r="G85" s="3"/>
      <c r="H85" s="64"/>
      <c r="I85" s="3"/>
      <c r="J85" s="3"/>
      <c r="N85" s="65"/>
    </row>
  </sheetData>
  <mergeCells count="35">
    <mergeCell ref="C64:D64"/>
    <mergeCell ref="A1:I1"/>
    <mergeCell ref="A2:A3"/>
    <mergeCell ref="B2:B3"/>
    <mergeCell ref="C2:C3"/>
    <mergeCell ref="D2:D3"/>
    <mergeCell ref="E2:E3"/>
    <mergeCell ref="F2:F3"/>
    <mergeCell ref="G2:G3"/>
    <mergeCell ref="H2:H3"/>
    <mergeCell ref="I2:I3"/>
    <mergeCell ref="A48:A51"/>
    <mergeCell ref="B48:B51"/>
    <mergeCell ref="C61:D61"/>
    <mergeCell ref="C62:D62"/>
    <mergeCell ref="C63:D63"/>
    <mergeCell ref="B77:J77"/>
    <mergeCell ref="C65:D65"/>
    <mergeCell ref="C66:D66"/>
    <mergeCell ref="B68:F68"/>
    <mergeCell ref="B69:J69"/>
    <mergeCell ref="B70:J70"/>
    <mergeCell ref="B71:J71"/>
    <mergeCell ref="B72:J72"/>
    <mergeCell ref="B73:J73"/>
    <mergeCell ref="B74:J74"/>
    <mergeCell ref="B75:J75"/>
    <mergeCell ref="B76:J76"/>
    <mergeCell ref="B85:E85"/>
    <mergeCell ref="B79:E79"/>
    <mergeCell ref="B80:E80"/>
    <mergeCell ref="B81:E81"/>
    <mergeCell ref="B82:E82"/>
    <mergeCell ref="B83:E83"/>
    <mergeCell ref="B84:E84"/>
  </mergeCells>
  <pageMargins left="0.7" right="0.7" top="0.75" bottom="0.75" header="0.3" footer="0.3"/>
  <pageSetup paperSize="9" scale="1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24</vt:i4>
      </vt:variant>
    </vt:vector>
  </HeadingPairs>
  <TitlesOfParts>
    <vt:vector size="24" baseType="lpstr">
      <vt:lpstr>ΑΓΓΕΙΟΧΕΙΡΟΥΡΓΙΚΗ</vt:lpstr>
      <vt:lpstr>ΓΑΣΤΡΕΝΤΕΡΟΛΟΓΙΚΑ </vt:lpstr>
      <vt:lpstr>ΓΝΑΘΟΧΕΙΡΟΥΡΓΙΚΑ</vt:lpstr>
      <vt:lpstr>ΓΕΝΙΚΗ ΧΕΙΡΟΥΡΓΙΚΗ</vt:lpstr>
      <vt:lpstr>ΓΥΝΑΙΚΟΛΟΓΙΚΗ</vt:lpstr>
      <vt:lpstr>ΕΠΕΜΒΑΤΙΚΗ ΑΚΤΙΝΟΛΟΓΙΑ</vt:lpstr>
      <vt:lpstr>ΕΠΕΜΒΑΤΙΚΗ ΚΑΡΔΙΟΛΟΓΙΑ</vt:lpstr>
      <vt:lpstr>ΗΛΕΚΤΡΟΦΥΣΙΟΛΟΓΙΑ</vt:lpstr>
      <vt:lpstr>ΘΕΡΑΠΕΙΕΣ ΠΟΝΟ ΜΕ ΣΥΣΚΕΥΕΣ</vt:lpstr>
      <vt:lpstr>INTERSTIM</vt:lpstr>
      <vt:lpstr>ΘΩΡΑΚΟΧΕΙΡΟΥΡΓΙΚΗ</vt:lpstr>
      <vt:lpstr>ΚΑΡΔΙΟΧΕΙΡΟΥΡΓΙΚΗ </vt:lpstr>
      <vt:lpstr>ΜΟΝΑΔΑ ΜΑΣΤΟΥ </vt:lpstr>
      <vt:lpstr>ΝΕΥΡΟΧΕΙΡΟΥΡΓΙΚΗ</vt:lpstr>
      <vt:lpstr>ΟΝΠ</vt:lpstr>
      <vt:lpstr>ΟΡΘΟΠΕΔΙΚΗ</vt:lpstr>
      <vt:lpstr>ΟΥΡΟΛΟΓΙΚΗ</vt:lpstr>
      <vt:lpstr>ΟΦΘΑΛΜΟΛΟΓΙΑ</vt:lpstr>
      <vt:lpstr>ΠΛΑΣΤΙΚΗ ΧΕΙΡΟΥΡΓΙΚΗ</vt:lpstr>
      <vt:lpstr>ΠΝΕΥΜΟΝΟΛΟΓΙΚΟ</vt:lpstr>
      <vt:lpstr>ΠΟΝΟΣ</vt:lpstr>
      <vt:lpstr>ΧΟΛΗΦΟΡΑ</vt:lpstr>
      <vt:lpstr>ΣΠΟΝΔΥΛΙΚΗ ΣΤΗΛΗ </vt:lpstr>
      <vt:lpstr>ΩΡΛ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NAOUMENKA</dc:creator>
  <cp:lastModifiedBy>MARIA NAOUMENKA</cp:lastModifiedBy>
  <cp:lastPrinted>2026-05-21T13:58:48Z</cp:lastPrinted>
  <dcterms:created xsi:type="dcterms:W3CDTF">2026-03-04T08:12:08Z</dcterms:created>
  <dcterms:modified xsi:type="dcterms:W3CDTF">2026-05-25T08:38:04Z</dcterms:modified>
</cp:coreProperties>
</file>